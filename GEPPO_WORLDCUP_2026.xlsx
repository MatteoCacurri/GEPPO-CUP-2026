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ultati" sheetId="1" r:id="rId5"/>
    <sheet state="visible" name="Classifica" sheetId="2" r:id="rId6"/>
    <sheet state="visible" name="Marcatori" sheetId="3" r:id="rId7"/>
    <sheet state="visible" name="Squadre" sheetId="4" r:id="rId8"/>
    <sheet state="visible" name="Rose" sheetId="5" r:id="rId9"/>
    <sheet state="visible" name="Fase Finale" sheetId="6" r:id="rId10"/>
    <sheet state="visible" name="GolPartite" sheetId="7" r:id="rId11"/>
    <sheet state="visible" name="📋 ISTRUZIONI" sheetId="8" r:id="rId12"/>
  </sheets>
  <definedNames/>
  <calcPr/>
</workbook>
</file>

<file path=xl/sharedStrings.xml><?xml version="1.0" encoding="utf-8"?>
<sst xmlns="http://schemas.openxmlformats.org/spreadsheetml/2006/main" count="2734" uniqueCount="559">
  <si>
    <t>⚽ CALENDARIO &amp; RISULTATI — 5 GIORNATE / 60 PARTITE</t>
  </si>
  <si>
    <t>GG</t>
  </si>
  <si>
    <t>DATA</t>
  </si>
  <si>
    <t>CASA</t>
  </si>
  <si>
    <t>GOL</t>
  </si>
  <si>
    <t>—</t>
  </si>
  <si>
    <t>TRASFERTA</t>
  </si>
  <si>
    <t>NOTE</t>
  </si>
  <si>
    <t>MVP NOME</t>
  </si>
  <si>
    <t>MVP SQUADRA</t>
  </si>
  <si>
    <t>━━━━━━━━━━━━  GIORNATA 1  ━━━━━━━━━━━━</t>
  </si>
  <si>
    <t>MAROCCO</t>
  </si>
  <si>
    <t>:</t>
  </si>
  <si>
    <t>SVIZZERA</t>
  </si>
  <si>
    <t>20:00/21:00</t>
  </si>
  <si>
    <t>LUCA MASCIOLI</t>
  </si>
  <si>
    <t>BRASILE</t>
  </si>
  <si>
    <t>ARGENTINA</t>
  </si>
  <si>
    <t>21:00/22:00</t>
  </si>
  <si>
    <t>GABRIELE MIZZONI</t>
  </si>
  <si>
    <t>ECUADOR</t>
  </si>
  <si>
    <t>MESSICO</t>
  </si>
  <si>
    <t>22:00/23:00</t>
  </si>
  <si>
    <t>CHRISTIAN FERRANTE</t>
  </si>
  <si>
    <t>SPAGNA</t>
  </si>
  <si>
    <t>GERMANIA</t>
  </si>
  <si>
    <t>DAMIANO FRATINI</t>
  </si>
  <si>
    <t>NORVEGIA</t>
  </si>
  <si>
    <t>JAMAICA</t>
  </si>
  <si>
    <t>ANTONIO PROIETTI</t>
  </si>
  <si>
    <t>COSTA D'AVORIO</t>
  </si>
  <si>
    <t>GIAPPONE</t>
  </si>
  <si>
    <t xml:space="preserve">SIMONE TANI </t>
  </si>
  <si>
    <t>OLANDA</t>
  </si>
  <si>
    <t>ALGERIA</t>
  </si>
  <si>
    <t>PIERLUIGI PAOLACCI</t>
  </si>
  <si>
    <t>PORTOGALLO</t>
  </si>
  <si>
    <t>INGHILTERRA</t>
  </si>
  <si>
    <t>NICOLÒ CIARAGLIA</t>
  </si>
  <si>
    <t xml:space="preserve">INGHILTERRA </t>
  </si>
  <si>
    <t>ITALIA</t>
  </si>
  <si>
    <t>URUGUAY</t>
  </si>
  <si>
    <t>MICHAEL PIRO</t>
  </si>
  <si>
    <t>USA</t>
  </si>
  <si>
    <t>NUOVA ZELANDA</t>
  </si>
  <si>
    <t>FRANCESCO MARIANI</t>
  </si>
  <si>
    <t>FRANCIA</t>
  </si>
  <si>
    <t>QATAR</t>
  </si>
  <si>
    <t>FRANCESCO CATANI</t>
  </si>
  <si>
    <t>SCOZIA</t>
  </si>
  <si>
    <t>COLOMBIA</t>
  </si>
  <si>
    <t>ANDREA CHILORIO</t>
  </si>
  <si>
    <t>━━━━━━━━━━━━  GIORNATA 2  ━━━━━━━━━━━━</t>
  </si>
  <si>
    <t>FEDERICO GIULITTI</t>
  </si>
  <si>
    <t>ROBERT BANITA</t>
  </si>
  <si>
    <t>LUCA MANTOVANI</t>
  </si>
  <si>
    <t>ALESSIO VIRDIS</t>
  </si>
  <si>
    <t>RICCARDO CORTELLESSA</t>
  </si>
  <si>
    <t>ERIK VASTA</t>
  </si>
  <si>
    <t>NICHOLAS MONOPOLI</t>
  </si>
  <si>
    <t>DENNYS SAVI</t>
  </si>
  <si>
    <t>ALESSANDRO MOSTACCI</t>
  </si>
  <si>
    <t>MARCO FALASCA</t>
  </si>
  <si>
    <t>ANDREA FERRANTE</t>
  </si>
  <si>
    <t>EDOARDO DAL MONTE</t>
  </si>
  <si>
    <t>━━━━━━━━━━━━  GIORNATA 3  ━━━━━━━━━━━━</t>
  </si>
  <si>
    <t>RICCARDO CIPOLLONI</t>
  </si>
  <si>
    <t>ALESSANDRO SANTIA</t>
  </si>
  <si>
    <t>RICHARD KOEPKE</t>
  </si>
  <si>
    <t>EDOARDO MANTOVANI</t>
  </si>
  <si>
    <t>CRISTIANO CECCHINI</t>
  </si>
  <si>
    <t>GIANMARCO SCAROZZA</t>
  </si>
  <si>
    <t>LORENZO FREZZOTTI</t>
  </si>
  <si>
    <t>ALESSIO CARDELLINI</t>
  </si>
  <si>
    <t>PIETRO PERA</t>
  </si>
  <si>
    <t>RIDA ECH CHOUBY</t>
  </si>
  <si>
    <t>LORENZO BARI</t>
  </si>
  <si>
    <t>━━━━━━━━━━━━  GIORNATA 4  ━━━━━━━━━━━━</t>
  </si>
  <si>
    <t>EMANUELE D'ANTONI</t>
  </si>
  <si>
    <t>DIEGO ZACCARIA</t>
  </si>
  <si>
    <t>DANIELE PASTORELLI</t>
  </si>
  <si>
    <t>FLAVIO ARCIERI</t>
  </si>
  <si>
    <t>DAMIANO REMIGI</t>
  </si>
  <si>
    <t>GRAZIANO TALONE</t>
  </si>
  <si>
    <t>━━━━━━━━━━━━  GIORNATA 5  ━━━━━━━━━━━━</t>
  </si>
  <si>
    <t>🌍 CLASSIFICA — MONDIALE ESTATE 2026</t>
  </si>
  <si>
    <t>POS</t>
  </si>
  <si>
    <t>SQUADRA</t>
  </si>
  <si>
    <t>F</t>
  </si>
  <si>
    <t>G</t>
  </si>
  <si>
    <t>V</t>
  </si>
  <si>
    <t>N</t>
  </si>
  <si>
    <t>P</t>
  </si>
  <si>
    <t>GF</t>
  </si>
  <si>
    <t>GS</t>
  </si>
  <si>
    <t>DR</t>
  </si>
  <si>
    <t>PTS</t>
  </si>
  <si>
    <t>🥅  CLASSIFICA MARCATORI</t>
  </si>
  <si>
    <t>#</t>
  </si>
  <si>
    <t>NOME GIOCATORE</t>
  </si>
  <si>
    <t>NAZIONALE</t>
  </si>
  <si>
    <t>CRISTIAN FERRANTE</t>
  </si>
  <si>
    <t xml:space="preserve">ANDREA FERRANTE </t>
  </si>
  <si>
    <t xml:space="preserve">ECUADOR </t>
  </si>
  <si>
    <t xml:space="preserve">SAMUELE OPRE </t>
  </si>
  <si>
    <t xml:space="preserve">MAROCCO </t>
  </si>
  <si>
    <t>SIMONE ROMANI</t>
  </si>
  <si>
    <t xml:space="preserve">SVIZZERA </t>
  </si>
  <si>
    <t xml:space="preserve">FEDERICO SABLONE </t>
  </si>
  <si>
    <t xml:space="preserve">GABRIELE OLIVA </t>
  </si>
  <si>
    <t xml:space="preserve">BRASILE </t>
  </si>
  <si>
    <t>TIZIANO PICCOLELLI</t>
  </si>
  <si>
    <t xml:space="preserve">ROBERT BANITA </t>
  </si>
  <si>
    <t>ALESSIO CENTOFANTE</t>
  </si>
  <si>
    <t xml:space="preserve">ARGENTINA </t>
  </si>
  <si>
    <t>GABRIELE DI ROLLO</t>
  </si>
  <si>
    <t>NICOLÓ GRAZIANO</t>
  </si>
  <si>
    <t xml:space="preserve">EMANUELE D'ANTONI </t>
  </si>
  <si>
    <t>PIETRO PETRANGELI</t>
  </si>
  <si>
    <t>MIRCO FERRANTE</t>
  </si>
  <si>
    <t>🏳️ NAZIONALI PARTECIPANTI — 24 SQUADRE</t>
  </si>
  <si>
    <t>FASCIA</t>
  </si>
  <si>
    <t>CONTINENTE</t>
  </si>
  <si>
    <t>LIVELLO</t>
  </si>
  <si>
    <t>America</t>
  </si>
  <si>
    <t>ELITE</t>
  </si>
  <si>
    <t>Europa</t>
  </si>
  <si>
    <t>FORTI</t>
  </si>
  <si>
    <t>Africa</t>
  </si>
  <si>
    <t>BUONE</t>
  </si>
  <si>
    <t>CROAZIA</t>
  </si>
  <si>
    <t>MEDIE</t>
  </si>
  <si>
    <t>Asia</t>
  </si>
  <si>
    <t>OUTSIDER</t>
  </si>
  <si>
    <t>Oceania</t>
  </si>
  <si>
    <t>WILDCARD</t>
  </si>
  <si>
    <t>NOME</t>
  </si>
  <si>
    <t>RUOLO</t>
  </si>
  <si>
    <t>Steven D'Andrea</t>
  </si>
  <si>
    <t>PORTIERE</t>
  </si>
  <si>
    <t>Alessandro Rosati</t>
  </si>
  <si>
    <t/>
  </si>
  <si>
    <t>Emanuele D'Antoni</t>
  </si>
  <si>
    <t>Davide Di Cesare</t>
  </si>
  <si>
    <t>Christian Ferrante</t>
  </si>
  <si>
    <t>Eros Cerini</t>
  </si>
  <si>
    <t>Marco Mori</t>
  </si>
  <si>
    <t>Francesco Cheles</t>
  </si>
  <si>
    <t>Riccardo Cipolloni</t>
  </si>
  <si>
    <t>Leonardo Di Brango</t>
  </si>
  <si>
    <t>Tommaso De Propris</t>
  </si>
  <si>
    <t>Filippo Polinesi</t>
  </si>
  <si>
    <t>Federico Marcellitti</t>
  </si>
  <si>
    <t>Ousman Barry</t>
  </si>
  <si>
    <t>Nicolò Graziano</t>
  </si>
  <si>
    <t>Federico Bravetti</t>
  </si>
  <si>
    <t>Mirco Ferrante</t>
  </si>
  <si>
    <t>Alessandro Colajanni</t>
  </si>
  <si>
    <t>Riccardo Attilia</t>
  </si>
  <si>
    <t>Leonardo Fratini</t>
  </si>
  <si>
    <t>Jacopo Petrucci</t>
  </si>
  <si>
    <t>Gabriele Oliva</t>
  </si>
  <si>
    <t>Dennys Savi</t>
  </si>
  <si>
    <t>Tiziano Piccolelli</t>
  </si>
  <si>
    <t>Gabriele Briatico</t>
  </si>
  <si>
    <t>Matteo Loreti</t>
  </si>
  <si>
    <t>Gabriele Mizzoni</t>
  </si>
  <si>
    <t>Valerio Condrò</t>
  </si>
  <si>
    <t>Samuele Tani</t>
  </si>
  <si>
    <t>Cristiano Cecchini</t>
  </si>
  <si>
    <t>Edoardo Piacentini</t>
  </si>
  <si>
    <t>Ludovico Zulli</t>
  </si>
  <si>
    <t>Mattia Bonansingo</t>
  </si>
  <si>
    <t>Damiano Ferreri</t>
  </si>
  <si>
    <t>Davide Moroni</t>
  </si>
  <si>
    <t>Valerio Greggi</t>
  </si>
  <si>
    <t>Marco Ferreri</t>
  </si>
  <si>
    <t>Federico Giusti</t>
  </si>
  <si>
    <t>Simone Marchini</t>
  </si>
  <si>
    <t>Simone Di Pasquale</t>
  </si>
  <si>
    <t>Cristiano Balestrieri</t>
  </si>
  <si>
    <t>Edoardo Sabatini</t>
  </si>
  <si>
    <t>Mirko Babbini</t>
  </si>
  <si>
    <t>Emanuele Virgili</t>
  </si>
  <si>
    <t>Alessio Giusti</t>
  </si>
  <si>
    <t>Mario Sperandio</t>
  </si>
  <si>
    <t>Michele De Domincis</t>
  </si>
  <si>
    <t>Daniel De Angelis</t>
  </si>
  <si>
    <t>Alessandro Pellutri</t>
  </si>
  <si>
    <t>Paolo Ambrosecchio</t>
  </si>
  <si>
    <t>Edoardo Urbani</t>
  </si>
  <si>
    <t>Gabriele Zuccari</t>
  </si>
  <si>
    <t>Valerio Copponi</t>
  </si>
  <si>
    <t>Davide Bruschi</t>
  </si>
  <si>
    <t>Gianmatteo Massimei</t>
  </si>
  <si>
    <t>Riccardo Salvati</t>
  </si>
  <si>
    <t>Mauro Marchionni</t>
  </si>
  <si>
    <t>Fabio De Luca</t>
  </si>
  <si>
    <t>Simone Iannilli</t>
  </si>
  <si>
    <t>Matteo Zosimi</t>
  </si>
  <si>
    <t>Federico Perna</t>
  </si>
  <si>
    <t>Ibrahima Kante</t>
  </si>
  <si>
    <t>Gabriele Coccia</t>
  </si>
  <si>
    <t>Gabriele Del Grande</t>
  </si>
  <si>
    <t>Cristiano Cascioli</t>
  </si>
  <si>
    <t>Simone Cascioli</t>
  </si>
  <si>
    <t>Enrico Viotti</t>
  </si>
  <si>
    <t>Gianmarco Scarozza</t>
  </si>
  <si>
    <t>Matteo Ferrero</t>
  </si>
  <si>
    <t>Daniele Alessandrini</t>
  </si>
  <si>
    <t>Federico Indovino</t>
  </si>
  <si>
    <t>Vittorio De Santis</t>
  </si>
  <si>
    <t>Simone Festa</t>
  </si>
  <si>
    <t>Nicolò Ciaraglia</t>
  </si>
  <si>
    <t>Daniele De Amicis</t>
  </si>
  <si>
    <t>Alberto Verterano</t>
  </si>
  <si>
    <t>Diego Centanni</t>
  </si>
  <si>
    <t>Samuele Ciccotti</t>
  </si>
  <si>
    <t>Simon Kwiatkowsky</t>
  </si>
  <si>
    <t>Gianluca Libertini</t>
  </si>
  <si>
    <t>Simone Frezzotti</t>
  </si>
  <si>
    <t>Simone Neroni</t>
  </si>
  <si>
    <t>Daniele Calderari</t>
  </si>
  <si>
    <t>Valerio Calderari</t>
  </si>
  <si>
    <t>Leonardo Corrado</t>
  </si>
  <si>
    <t>Alessandro Ledoti</t>
  </si>
  <si>
    <t>Antonio Proietti</t>
  </si>
  <si>
    <t>Tommaso Pradini</t>
  </si>
  <si>
    <t>Federico Deleo</t>
  </si>
  <si>
    <t>Pietro Passacantilli</t>
  </si>
  <si>
    <t>Dario Lopez</t>
  </si>
  <si>
    <t>Andrea De Rossi</t>
  </si>
  <si>
    <t>Giovanni Colasazzi</t>
  </si>
  <si>
    <t>Giordano Timperi</t>
  </si>
  <si>
    <t>Alessandro Martinelli</t>
  </si>
  <si>
    <t>Cristian Fiorenza</t>
  </si>
  <si>
    <t>Alessandro Rancu</t>
  </si>
  <si>
    <t>Angelo Grignani</t>
  </si>
  <si>
    <t>Federico Solitari</t>
  </si>
  <si>
    <t>Valerio De Santis</t>
  </si>
  <si>
    <t>Riccardo Iannone</t>
  </si>
  <si>
    <t>Lorenzo Bari</t>
  </si>
  <si>
    <t>Andrea Stagnari</t>
  </si>
  <si>
    <t>Valerio Campagna</t>
  </si>
  <si>
    <t>Cristiano Di Fausto</t>
  </si>
  <si>
    <t>Roberto Salvati</t>
  </si>
  <si>
    <t>Antonio Ferrante</t>
  </si>
  <si>
    <t>Gabriele Ricciolini</t>
  </si>
  <si>
    <t>Davide Iori</t>
  </si>
  <si>
    <t>Umberto Pierangelini</t>
  </si>
  <si>
    <t>Pierluigi Paolacci</t>
  </si>
  <si>
    <t>Francesco Datri</t>
  </si>
  <si>
    <t>Andrea Bussi</t>
  </si>
  <si>
    <t>Alessio Virdis</t>
  </si>
  <si>
    <t>Pietro Pera</t>
  </si>
  <si>
    <t>Andrea Ventura</t>
  </si>
  <si>
    <t>Emiliano Dominici</t>
  </si>
  <si>
    <t>Andrea Laurenti</t>
  </si>
  <si>
    <t>Matteo Alfani</t>
  </si>
  <si>
    <t>Enrico Tataranno</t>
  </si>
  <si>
    <t>Manuel Maturi</t>
  </si>
  <si>
    <t>Orlando Silvestri</t>
  </si>
  <si>
    <t>Simone Tani</t>
  </si>
  <si>
    <t>Francesco Bruno</t>
  </si>
  <si>
    <t>Sebastian Meneses</t>
  </si>
  <si>
    <t>Daniele De Vecchis</t>
  </si>
  <si>
    <t>Youssef Zahraoui</t>
  </si>
  <si>
    <t>Nicola Nati</t>
  </si>
  <si>
    <t>Andrea Giocondi</t>
  </si>
  <si>
    <t>Giacomo Molinari</t>
  </si>
  <si>
    <t>Patrizio Alese</t>
  </si>
  <si>
    <t>Alessandro d'Andrea</t>
  </si>
  <si>
    <t>Matteo Manni</t>
  </si>
  <si>
    <t>Cristian Manni</t>
  </si>
  <si>
    <t>Graziano Talone</t>
  </si>
  <si>
    <t>Mattia Scattoni</t>
  </si>
  <si>
    <t>Marco Barone</t>
  </si>
  <si>
    <t>Alessandro Bennati</t>
  </si>
  <si>
    <t>Francesco Evangelista</t>
  </si>
  <si>
    <t>Brian Ciminelli</t>
  </si>
  <si>
    <t>Mattia Evangelista</t>
  </si>
  <si>
    <t>Nicholas Monopoli</t>
  </si>
  <si>
    <t>Fabio Lucenti</t>
  </si>
  <si>
    <t>Matteo Bobeica</t>
  </si>
  <si>
    <t>Luca Martinelli</t>
  </si>
  <si>
    <t>Alessio Bonanno</t>
  </si>
  <si>
    <t>Diego Obeid</t>
  </si>
  <si>
    <t>Christian Di Petta</t>
  </si>
  <si>
    <t>Lorenzo Frezzotti</t>
  </si>
  <si>
    <t>Giacomo Cornacchia</t>
  </si>
  <si>
    <t>Gabriele Di Buccio</t>
  </si>
  <si>
    <t>Lorenzo Femia</t>
  </si>
  <si>
    <t>Andrea Chilorio</t>
  </si>
  <si>
    <t>Valerio Carbone</t>
  </si>
  <si>
    <t>Matteo Falcioni</t>
  </si>
  <si>
    <t>Matteo Paone</t>
  </si>
  <si>
    <t>Matteo Raffo</t>
  </si>
  <si>
    <t>Gabriele Grossi</t>
  </si>
  <si>
    <t>Emanuele Favetti</t>
  </si>
  <si>
    <t>Luca Carbone</t>
  </si>
  <si>
    <t>Mirko Santini</t>
  </si>
  <si>
    <t>Pietro Del Duca</t>
  </si>
  <si>
    <t>Simone Maci</t>
  </si>
  <si>
    <t>Riccardo Saccucci</t>
  </si>
  <si>
    <t>Cristian Montanari</t>
  </si>
  <si>
    <t>Manolo Perroni</t>
  </si>
  <si>
    <t>Michael Piro</t>
  </si>
  <si>
    <t>Andrea Di Carmine</t>
  </si>
  <si>
    <t>Pierluigi Sinceri</t>
  </si>
  <si>
    <t>Alessio Lalli</t>
  </si>
  <si>
    <t>Valerio Bernardini</t>
  </si>
  <si>
    <t>Erik Vasta</t>
  </si>
  <si>
    <t>Daniele Pastorelli</t>
  </si>
  <si>
    <t>Emanuele Gasbarra</t>
  </si>
  <si>
    <t>Andrea Ottaviani</t>
  </si>
  <si>
    <t>Nico Federici</t>
  </si>
  <si>
    <t>Cristian Colucci</t>
  </si>
  <si>
    <t>Fabrizio Vincent</t>
  </si>
  <si>
    <t>Francesco Rosati</t>
  </si>
  <si>
    <t>Riccardo Cannone</t>
  </si>
  <si>
    <t>Alessandro Meloni</t>
  </si>
  <si>
    <t>Cristian Serafini</t>
  </si>
  <si>
    <t>Federico Proietti Urbani</t>
  </si>
  <si>
    <t>Leonardo Minorenti</t>
  </si>
  <si>
    <t>Luca Orfei</t>
  </si>
  <si>
    <t>Giulio Trusiani</t>
  </si>
  <si>
    <t>Edoardo Mantovani</t>
  </si>
  <si>
    <t>Mattia Pizzelli</t>
  </si>
  <si>
    <t>Simone Simoni</t>
  </si>
  <si>
    <t>Francesco Catani</t>
  </si>
  <si>
    <t>Francesco Parlagreco</t>
  </si>
  <si>
    <t>Massimo Rossi</t>
  </si>
  <si>
    <t>Marco Falasca</t>
  </si>
  <si>
    <t>Thomas Pellegrini</t>
  </si>
  <si>
    <t>Alessandro Cecere</t>
  </si>
  <si>
    <t>Stefano Secondiani</t>
  </si>
  <si>
    <t>Adel Hamadouche</t>
  </si>
  <si>
    <t>Alessandro Balsamo</t>
  </si>
  <si>
    <t>Matteo Cacurri</t>
  </si>
  <si>
    <t>Andrea Giagnoli</t>
  </si>
  <si>
    <t>Luca Mantovani</t>
  </si>
  <si>
    <t>Giovanni Pisanelli</t>
  </si>
  <si>
    <t>Emanuele Patriarca</t>
  </si>
  <si>
    <t>Diego Zaccaria</t>
  </si>
  <si>
    <t>Francesco Cavo</t>
  </si>
  <si>
    <t>Saverio Mastropietro</t>
  </si>
  <si>
    <t>Patrizio Bigoli</t>
  </si>
  <si>
    <t>Domenico Bianchi</t>
  </si>
  <si>
    <t>Tommaso Di Fusco</t>
  </si>
  <si>
    <t>Giuliano Falcioni</t>
  </si>
  <si>
    <t>Edoardo Dal Monte</t>
  </si>
  <si>
    <t>Carlo Alberto Rozzi</t>
  </si>
  <si>
    <t>Gildo Pio Censi</t>
  </si>
  <si>
    <t>Lorenzo Fubelli</t>
  </si>
  <si>
    <t>Valerio Lombardozzi</t>
  </si>
  <si>
    <t>Baciotti Simone</t>
  </si>
  <si>
    <t>Damiano Fratini</t>
  </si>
  <si>
    <t>Giovanni Eumeni</t>
  </si>
  <si>
    <t>Federico Martinelli</t>
  </si>
  <si>
    <t>Manuel Solitari</t>
  </si>
  <si>
    <t>Carlo D'Agostino</t>
  </si>
  <si>
    <t>Giorgio Polidori</t>
  </si>
  <si>
    <t>Cristian Gimelli</t>
  </si>
  <si>
    <t>Fabio Fusaroli</t>
  </si>
  <si>
    <t>Danilo Ranieri</t>
  </si>
  <si>
    <t>Nicolò Valentini</t>
  </si>
  <si>
    <t>Alessandro Fraschetti</t>
  </si>
  <si>
    <t>Simone Petrucci</t>
  </si>
  <si>
    <t>Gianluca Visconti</t>
  </si>
  <si>
    <t>Jacopo Palermitano</t>
  </si>
  <si>
    <t>Pietro Rante</t>
  </si>
  <si>
    <t xml:space="preserve">Flavio Perrone </t>
  </si>
  <si>
    <t>Marco Mastrantonio</t>
  </si>
  <si>
    <t xml:space="preserve">Pietro Petrangeli </t>
  </si>
  <si>
    <t>Andrea Ferrante</t>
  </si>
  <si>
    <t>Daniele Vicolini</t>
  </si>
  <si>
    <t>Alessio Uccellini</t>
  </si>
  <si>
    <t xml:space="preserve">Valerio Uccellini </t>
  </si>
  <si>
    <t>Mattia Cupelli</t>
  </si>
  <si>
    <t>Stefano Fioravanti</t>
  </si>
  <si>
    <t>Jacopo Dominici</t>
  </si>
  <si>
    <t>Simone Romani</t>
  </si>
  <si>
    <t>Edoardo Gizzi</t>
  </si>
  <si>
    <t xml:space="preserve">Davide Trugli </t>
  </si>
  <si>
    <t xml:space="preserve">Luigi Antinelli </t>
  </si>
  <si>
    <t>Flavio Merciari</t>
  </si>
  <si>
    <t>Leonardo Mercurio</t>
  </si>
  <si>
    <t>Flavio Falcioni</t>
  </si>
  <si>
    <t xml:space="preserve">Mario Persichetti </t>
  </si>
  <si>
    <t>Damiano Remigi</t>
  </si>
  <si>
    <t>Alessio Corsaletti</t>
  </si>
  <si>
    <t>Valerio Vitali</t>
  </si>
  <si>
    <t>Emanuele Mezzanotte</t>
  </si>
  <si>
    <t>Matteo Valentini</t>
  </si>
  <si>
    <t>Alessio Cardellini</t>
  </si>
  <si>
    <t>Daniele Di Paolo</t>
  </si>
  <si>
    <t>Giuseppe Polito</t>
  </si>
  <si>
    <t>Gianluigi Valdastri</t>
  </si>
  <si>
    <t>Emiliano Ilari</t>
  </si>
  <si>
    <t>Samuele Ilari</t>
  </si>
  <si>
    <t>Mariano Proietti</t>
  </si>
  <si>
    <t>Gianluca Falzerano</t>
  </si>
  <si>
    <t>Graziano Timperi</t>
  </si>
  <si>
    <t>Marco Rossi</t>
  </si>
  <si>
    <t>Flavio Bischi</t>
  </si>
  <si>
    <t>Davide Mariotti</t>
  </si>
  <si>
    <t>Federico Giulitti</t>
  </si>
  <si>
    <t>Alessio Bertarelli</t>
  </si>
  <si>
    <t>Daniele Penna</t>
  </si>
  <si>
    <t>Daniele Scancella</t>
  </si>
  <si>
    <t>Damiano Galantini</t>
  </si>
  <si>
    <t>Alberto Lombardi</t>
  </si>
  <si>
    <t>Gabriel Ciobanu</t>
  </si>
  <si>
    <t>Ernesto Alfonsetti</t>
  </si>
  <si>
    <t>Massimo Zucchelli</t>
  </si>
  <si>
    <t>Tommaso Gianni</t>
  </si>
  <si>
    <t>Dario Crivellini</t>
  </si>
  <si>
    <t>Luca Mascioli</t>
  </si>
  <si>
    <t>Davide Procaccianti</t>
  </si>
  <si>
    <t>Riccardo Nargiso</t>
  </si>
  <si>
    <t>Alessandro Mostacci</t>
  </si>
  <si>
    <t>Cristian Di Fausto</t>
  </si>
  <si>
    <t>Eloy Alfonsetti</t>
  </si>
  <si>
    <t>Samuele Opre</t>
  </si>
  <si>
    <t>Federico Sablone</t>
  </si>
  <si>
    <t>Rida Ech Chouby</t>
  </si>
  <si>
    <t>Edoardo Zannetti</t>
  </si>
  <si>
    <t>Manuel Tornambè</t>
  </si>
  <si>
    <t>Massimo Cantelmi</t>
  </si>
  <si>
    <t>Robert Banita</t>
  </si>
  <si>
    <t>Damiano Ferrone</t>
  </si>
  <si>
    <t>Alessio Centofante</t>
  </si>
  <si>
    <t>Alessandro Pichetti</t>
  </si>
  <si>
    <t>Romeo Shahinas</t>
  </si>
  <si>
    <t>Gabriele Di Rollo</t>
  </si>
  <si>
    <t>Giuliano Alessi</t>
  </si>
  <si>
    <t>Lorenzo Laudoni</t>
  </si>
  <si>
    <t>D'artibale Mattia</t>
  </si>
  <si>
    <t>Francesco Mariani</t>
  </si>
  <si>
    <t>Matteo Tonelli</t>
  </si>
  <si>
    <t>Luca Cruciani</t>
  </si>
  <si>
    <t>Mattia Marcelli</t>
  </si>
  <si>
    <t>Lorenzo Pasquarelli</t>
  </si>
  <si>
    <t>Fabio Santus</t>
  </si>
  <si>
    <t>Francesco Tonelli</t>
  </si>
  <si>
    <t>Simone Pietrosanti</t>
  </si>
  <si>
    <t>Valerio Ranucci</t>
  </si>
  <si>
    <t>Magrini Andrea</t>
  </si>
  <si>
    <t>Francesco Maggi</t>
  </si>
  <si>
    <t>Riccardo Morelli</t>
  </si>
  <si>
    <t>Massimiliano Schicchi</t>
  </si>
  <si>
    <t>Manuel Parente</t>
  </si>
  <si>
    <t>Damiano Binago</t>
  </si>
  <si>
    <t>Armin Ramceski</t>
  </si>
  <si>
    <t>Daniele Mariani</t>
  </si>
  <si>
    <t>Mario Marroni</t>
  </si>
  <si>
    <t>Simone Paglione</t>
  </si>
  <si>
    <t>Manuel Scicchitano</t>
  </si>
  <si>
    <t>Valerio Altamura</t>
  </si>
  <si>
    <t>Manuel Arcangeli</t>
  </si>
  <si>
    <t>Gabriele Paglione</t>
  </si>
  <si>
    <t>Simone Flamini</t>
  </si>
  <si>
    <t>Ettore Delia</t>
  </si>
  <si>
    <t>Luigi Cherubini</t>
  </si>
  <si>
    <t>Yuri Bonelli</t>
  </si>
  <si>
    <t>Nicolas Alambi</t>
  </si>
  <si>
    <t>Simone Capogreco</t>
  </si>
  <si>
    <t>Robert Dragu</t>
  </si>
  <si>
    <t>Francesco Stazi</t>
  </si>
  <si>
    <t>Matteo Miculan</t>
  </si>
  <si>
    <t>Simone Gasperini</t>
  </si>
  <si>
    <t>Nikolas Bonelli</t>
  </si>
  <si>
    <t>Alessandro Cafieri</t>
  </si>
  <si>
    <t>Gabriele Rubino</t>
  </si>
  <si>
    <t>Flavio Arcieri</t>
  </si>
  <si>
    <t>Simone Ficorella</t>
  </si>
  <si>
    <t>Richard Koepke</t>
  </si>
  <si>
    <t>Cristian Tarquini</t>
  </si>
  <si>
    <t>Andrei Jipa</t>
  </si>
  <si>
    <t>Davide Piersanti</t>
  </si>
  <si>
    <t>Flavio Stazi</t>
  </si>
  <si>
    <t>Federico Testi</t>
  </si>
  <si>
    <t>Cristian Stortini</t>
  </si>
  <si>
    <t>Leonardo Sisti</t>
  </si>
  <si>
    <t>Angelo Pucella</t>
  </si>
  <si>
    <t>Francesco Cortellessa</t>
  </si>
  <si>
    <t>Riccardo Cortellessa</t>
  </si>
  <si>
    <t>Alessandro Santia</t>
  </si>
  <si>
    <t>Alessandro Venditti</t>
  </si>
  <si>
    <t>Valerio Baldassarre</t>
  </si>
  <si>
    <t>Emanuele Brilli</t>
  </si>
  <si>
    <t>Rosario Perri</t>
  </si>
  <si>
    <t>Rocco Falcone</t>
  </si>
  <si>
    <t>Matteo De Stefani</t>
  </si>
  <si>
    <t>Riccardo Ugo</t>
  </si>
  <si>
    <t xml:space="preserve">Valerio Galluzzi </t>
  </si>
  <si>
    <t>Gianluca Romagnoli</t>
  </si>
  <si>
    <t>Flavio Scognamiglio</t>
  </si>
  <si>
    <t>Federico Danubio</t>
  </si>
  <si>
    <t>Gianmarco Giacobone</t>
  </si>
  <si>
    <t>Nicola Iorli</t>
  </si>
  <si>
    <t>Augusto Gubinelli</t>
  </si>
  <si>
    <t>Modesto Valeriani</t>
  </si>
  <si>
    <t>Nicholas Tiberi</t>
  </si>
  <si>
    <t>Manuel Tiberi</t>
  </si>
  <si>
    <t>Giuliano Danieli</t>
  </si>
  <si>
    <t>Cristian Valeriani</t>
  </si>
  <si>
    <t>Federico Feli</t>
  </si>
  <si>
    <t>Diego Castellucci</t>
  </si>
  <si>
    <t>Maksymilian Siewiera</t>
  </si>
  <si>
    <t>Almir Asani</t>
  </si>
  <si>
    <t>Roberto Guarino</t>
  </si>
  <si>
    <t>Giordano Angelini</t>
  </si>
  <si>
    <t>🏆  FASE FINALE — MONDIALE / COPPA D'ARGENTO / COPPA DI BRONZO</t>
  </si>
  <si>
    <t>FASE</t>
  </si>
  <si>
    <t>SQUADRA 1</t>
  </si>
  <si>
    <t>GOL 1</t>
  </si>
  <si>
    <t>SQUADRA 2</t>
  </si>
  <si>
    <t>GOL 2</t>
  </si>
  <si>
    <t>COMPETIZIONE</t>
  </si>
  <si>
    <t>Quarti di Finale</t>
  </si>
  <si>
    <t>TBD</t>
  </si>
  <si>
    <t>🌍 MONDIALE</t>
  </si>
  <si>
    <t>Semifinali</t>
  </si>
  <si>
    <t>3° Posto</t>
  </si>
  <si>
    <t>🏆 FINALE MONDIALE</t>
  </si>
  <si>
    <t>🥈 COPPA D'ARGENTO</t>
  </si>
  <si>
    <t>🥈 FINALE ARGENTO</t>
  </si>
  <si>
    <t>🥉 COPPA DI BRONZO</t>
  </si>
  <si>
    <t>🥉 FINALE BRONZO</t>
  </si>
  <si>
    <t>GIOCATORE</t>
  </si>
  <si>
    <t>INGHILTERA</t>
  </si>
  <si>
    <t xml:space="preserve">URUGUAY </t>
  </si>
  <si>
    <t xml:space="preserve">PORTOGALLO </t>
  </si>
  <si>
    <t>MONDIALE ESTATE 2026 — GUIDA RAPIDA AL FILE</t>
  </si>
  <si>
    <t>STRUTTURA DEL TORNEO</t>
  </si>
  <si>
    <t>24 nazionali | Girone unico | 5 partite a testa | 60 partite totali</t>
  </si>
  <si>
    <t>Top 8 → MONDIALE a eliminazione diretta</t>
  </si>
  <si>
    <t>Dal 9° al 16° → COPPA D'ARGENTO a eliminazione diretta</t>
  </si>
  <si>
    <t>Dal 17° al 24° → COPPA DI BRONZO a eliminazione diretta</t>
  </si>
  <si>
    <t>COME INSERIRE I RISULTATI (sheet Risultati)</t>
  </si>
  <si>
    <t>Colonna GOL (D): gol squadra di casa | Colonna GOL (F): gol trasferta</t>
  </si>
  <si>
    <t>Lascia vuoto se la partita non si è ancora giocata</t>
  </si>
  <si>
    <t>COME AGGIORNARE LA CLASSIFICA (sheet Classifica)</t>
  </si>
  <si>
    <t>Aggiorna G, V, N, P, GF, GS, DR, PTS manualmente dopo ogni giornata</t>
  </si>
  <si>
    <t>Ordina per PTS decrescente e, a pari punti, per DR decrescente</t>
  </si>
  <si>
    <t>COME AGGIORNARE I MARCATORI (sheet Marcatori)</t>
  </si>
  <si>
    <t>Inserisci Nome, Nazionale, totale Gol. Ordina per Gol decrescente.</t>
  </si>
  <si>
    <t>FASCE DI VALUTAZIONE</t>
  </si>
  <si>
    <t>Fascia 1 (Elite):    FRANCIA | INGHILTERRA | OLANDA | USA</t>
  </si>
  <si>
    <t>Fascia 2 (Forti):   JAMAICA | COLOMBIA | GIAPPONE | NORVEGIA</t>
  </si>
  <si>
    <t>Fascia 3 (Buone):  SVIZZERA | AUSTRIA | COREA DEL SUD | ECUADOR</t>
  </si>
  <si>
    <t>Fascia 4 (Medie):  SCOZIA | DANIMARCA | PARAGUAY | ALGERIA</t>
  </si>
  <si>
    <t>Fascia 5 (Outsider): CILE | COSTA D'AVORIO | IRAN | PANAMA</t>
  </si>
  <si>
    <t>Fascia 6 (Wildcard): QATAR | NUOVA ZELANDA | NIGERIA | ARABIA SAUDITA</t>
  </si>
  <si>
    <t>CALENDARIO GIORNATE</t>
  </si>
  <si>
    <t>Giornata 1: 16 Maggio 2026  |  Giornata 2: 23 Maggio 2026</t>
  </si>
  <si>
    <t>Giornata 3: 30 Maggio 2026  |  Giornata 4: 6 Giugno 2026</t>
  </si>
  <si>
    <t>Giornata 5: 13 Giugno 2026  |  Fase Finale: da decidere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</si>
</sst>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0">
    <font>
      <sz val="11.0"/>
      <color theme="1"/>
      <name val="Calibri"/>
      <scheme val="minor"/>
    </font>
    <font>
      <b/>
      <sz val="12.0"/>
      <color rgb="FFE8FF00"/>
      <name val="Arial"/>
    </font>
    <font>
      <color theme="1"/>
      <name val="Calibri"/>
      <scheme val="minor"/>
    </font>
    <font>
      <b/>
      <color rgb="FF8B949E"/>
      <name val="Arial"/>
    </font>
    <font>
      <b/>
      <color rgb="FFE8FF00"/>
      <name val="Arial"/>
    </font>
    <font/>
    <font>
      <color rgb="FF8B949E"/>
      <name val="Arial"/>
    </font>
    <font>
      <b/>
      <color rgb="FF00D4FF"/>
      <name val="Arial"/>
    </font>
    <font>
      <color rgb="FFFFFFFF"/>
      <name val="Calibri"/>
      <scheme val="minor"/>
    </font>
    <font>
      <b/>
      <color rgb="FFFF6B6B"/>
      <name val="Arial"/>
    </font>
    <font>
      <b/>
      <color rgb="FFE040FB"/>
      <name val="Arial"/>
    </font>
    <font>
      <b/>
      <color rgb="FF00E676"/>
      <name val="Arial"/>
    </font>
    <font>
      <b/>
      <color rgb="FFFF9800"/>
      <name val="Arial"/>
    </font>
    <font>
      <b/>
      <sz val="14.0"/>
      <color rgb="FFE8FF00"/>
      <name val="Arial"/>
    </font>
    <font>
      <b/>
      <color rgb="FFF0F2F5"/>
      <name val="Arial"/>
    </font>
    <font>
      <b/>
      <sz val="13.0"/>
      <color rgb="FFE8FF00"/>
      <name val="Arial"/>
    </font>
    <font>
      <b/>
      <sz val="9.0"/>
      <color rgb="FF8B949E"/>
      <name val="Arial"/>
    </font>
    <font>
      <b/>
      <sz val="9.0"/>
      <color rgb="FFE8FF00"/>
      <name val="Arial"/>
    </font>
    <font>
      <b/>
      <sz val="10.0"/>
      <color rgb="FFE8FF00"/>
      <name val="Arial"/>
    </font>
    <font>
      <sz val="10.0"/>
      <color rgb="FFF0F2F5"/>
      <name val="Arial"/>
    </font>
    <font>
      <b/>
      <sz val="10.0"/>
      <color rgb="FFC0C0C0"/>
      <name val="Arial"/>
    </font>
    <font>
      <b/>
      <sz val="10.0"/>
      <color rgb="FFCD7F32"/>
      <name val="Arial"/>
    </font>
    <font>
      <sz val="10.0"/>
      <color rgb="FF8B949E"/>
      <name val="Arial"/>
    </font>
    <font>
      <color rgb="FFF0F2F5"/>
      <name val="Arial"/>
    </font>
    <font>
      <b/>
      <sz val="12.0"/>
      <color rgb="FF00D4FF"/>
      <name val="Arial"/>
    </font>
    <font>
      <b/>
      <sz val="12.0"/>
      <color rgb="FF00E676"/>
      <name val="Arial"/>
    </font>
    <font>
      <b/>
      <sz val="12.0"/>
      <color rgb="FFFF9800"/>
      <name val="Arial"/>
    </font>
    <font>
      <b/>
      <sz val="12.0"/>
      <color rgb="FFE040FB"/>
      <name val="Arial"/>
    </font>
    <font>
      <b/>
      <sz val="12.0"/>
      <color rgb="FFFF6B6B"/>
      <name val="Arial"/>
    </font>
    <font>
      <b/>
      <color rgb="FFFFFFFF"/>
      <name val="Cambria"/>
    </font>
    <font>
      <color theme="1"/>
      <name val="Cambria"/>
    </font>
    <font>
      <b/>
      <color rgb="FFFFFFFF"/>
      <name val="Calibri"/>
      <scheme val="minor"/>
    </font>
    <font>
      <b/>
      <color theme="1"/>
      <name val="Calibri"/>
      <scheme val="minor"/>
    </font>
    <font>
      <b/>
      <sz val="11.0"/>
      <color rgb="FFE8FF00"/>
      <name val="Arial"/>
    </font>
    <font>
      <sz val="10.0"/>
      <color rgb="FFE8FF00"/>
      <name val="Arial"/>
    </font>
    <font>
      <sz val="10.0"/>
      <color rgb="FF00D4FF"/>
      <name val="Arial"/>
    </font>
    <font>
      <sz val="10.0"/>
      <color rgb="FFFF9800"/>
      <name val="Arial"/>
    </font>
    <font>
      <sz val="10.0"/>
      <color rgb="FF00E676"/>
      <name val="Arial"/>
    </font>
    <font>
      <sz val="10.0"/>
      <color rgb="FFE040FB"/>
      <name val="Arial"/>
    </font>
    <font>
      <sz val="10.0"/>
      <color rgb="FFFF6B6B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D1117"/>
        <bgColor rgb="FF0D1117"/>
      </patternFill>
    </fill>
    <fill>
      <patternFill patternType="solid">
        <fgColor rgb="FF0A1500"/>
        <bgColor rgb="FF0A1500"/>
      </patternFill>
    </fill>
    <fill>
      <patternFill patternType="solid">
        <fgColor rgb="FF0D1620"/>
        <bgColor rgb="FF0D1620"/>
      </patternFill>
    </fill>
    <fill>
      <patternFill patternType="solid">
        <fgColor rgb="FF000000"/>
        <bgColor rgb="FF000000"/>
      </patternFill>
    </fill>
    <fill>
      <patternFill patternType="solid">
        <fgColor rgb="FF000F1A"/>
        <bgColor rgb="FF000F1A"/>
      </patternFill>
    </fill>
    <fill>
      <patternFill patternType="solid">
        <fgColor rgb="FF0D2015"/>
        <bgColor rgb="FF0D2015"/>
      </patternFill>
    </fill>
    <fill>
      <patternFill patternType="solid">
        <fgColor rgb="FF1A1220"/>
        <bgColor rgb="FF1A1220"/>
      </patternFill>
    </fill>
    <fill>
      <patternFill patternType="solid">
        <fgColor rgb="FF201512"/>
        <bgColor rgb="FF201512"/>
      </patternFill>
    </fill>
    <fill>
      <patternFill patternType="solid">
        <fgColor rgb="FF0D1A1A"/>
        <bgColor rgb="FF0D1A1A"/>
      </patternFill>
    </fill>
    <fill>
      <patternFill patternType="solid">
        <fgColor rgb="FF161B22"/>
        <bgColor rgb="FF161B22"/>
      </patternFill>
    </fill>
    <fill>
      <patternFill patternType="solid">
        <fgColor rgb="FF1A2030"/>
        <bgColor rgb="FF1A2030"/>
      </patternFill>
    </fill>
    <fill>
      <patternFill patternType="solid">
        <fgColor rgb="FF1F3864"/>
        <bgColor rgb="FF1F3864"/>
      </patternFill>
    </fill>
    <fill>
      <patternFill patternType="solid">
        <fgColor rgb="FF073763"/>
        <bgColor rgb="FF073763"/>
      </patternFill>
    </fill>
    <fill>
      <patternFill patternType="solid">
        <fgColor rgb="FFFF6600"/>
        <bgColor rgb="FFFF6600"/>
      </patternFill>
    </fill>
    <fill>
      <patternFill patternType="solid">
        <fgColor rgb="FFF2F2F2"/>
        <bgColor rgb="FFF2F2F2"/>
      </patternFill>
    </fill>
    <fill>
      <patternFill patternType="solid">
        <fgColor rgb="FFFFD800"/>
        <bgColor rgb="FFFFD800"/>
      </patternFill>
    </fill>
    <fill>
      <patternFill patternType="solid">
        <fgColor rgb="FF1A1800"/>
        <bgColor rgb="FF1A1800"/>
      </patternFill>
    </fill>
    <fill>
      <patternFill patternType="solid">
        <fgColor rgb="FF1A1A1A"/>
        <bgColor rgb="FF1A1A1A"/>
      </patternFill>
    </fill>
    <fill>
      <patternFill patternType="solid">
        <fgColor rgb="FF1A1200"/>
        <bgColor rgb="FF1A1200"/>
      </patternFill>
    </fill>
    <fill>
      <patternFill patternType="solid">
        <fgColor rgb="FF218C21"/>
        <bgColor rgb="FF218C21"/>
      </patternFill>
    </fill>
    <fill>
      <patternFill patternType="solid">
        <fgColor rgb="FFFFFFFF"/>
        <bgColor rgb="FFFFFFFF"/>
      </patternFill>
    </fill>
    <fill>
      <patternFill patternType="solid">
        <fgColor rgb="FFD8EDD1"/>
        <bgColor rgb="FFD8EDD1"/>
      </patternFill>
    </fill>
    <fill>
      <patternFill patternType="solid">
        <fgColor rgb="FF0D1A00"/>
        <bgColor rgb="FF0D1A00"/>
      </patternFill>
    </fill>
  </fills>
  <borders count="8">
    <border/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2" fillId="3" fontId="4" numFmtId="0" xfId="0" applyAlignment="1" applyBorder="1" applyFill="1" applyFont="1">
      <alignment horizontal="left" readingOrder="0"/>
    </xf>
    <xf borderId="2" fillId="0" fontId="5" numFmtId="0" xfId="0" applyBorder="1" applyFont="1"/>
    <xf borderId="3" fillId="0" fontId="5" numFmtId="0" xfId="0" applyBorder="1" applyFont="1"/>
    <xf borderId="1" fillId="4" fontId="6" numFmtId="0" xfId="0" applyAlignment="1" applyBorder="1" applyFill="1" applyFont="1">
      <alignment horizontal="center" readingOrder="0"/>
    </xf>
    <xf borderId="1" fillId="4" fontId="6" numFmtId="164" xfId="0" applyAlignment="1" applyBorder="1" applyFont="1" applyNumberFormat="1">
      <alignment horizontal="center" readingOrder="0"/>
    </xf>
    <xf borderId="1" fillId="4" fontId="7" numFmtId="0" xfId="0" applyAlignment="1" applyBorder="1" applyFont="1">
      <alignment horizontal="left" readingOrder="0"/>
    </xf>
    <xf borderId="1" fillId="5" fontId="8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left" readingOrder="0"/>
    </xf>
    <xf borderId="1" fillId="4" fontId="4" numFmtId="0" xfId="0" applyAlignment="1" applyBorder="1" applyFont="1">
      <alignment horizontal="left" readingOrder="0"/>
    </xf>
    <xf borderId="1" fillId="4" fontId="11" numFmtId="0" xfId="0" applyAlignment="1" applyBorder="1" applyFont="1">
      <alignment horizontal="left" readingOrder="0"/>
    </xf>
    <xf borderId="1" fillId="4" fontId="12" numFmtId="0" xfId="0" applyAlignment="1" applyBorder="1" applyFont="1">
      <alignment horizontal="left" readingOrder="0"/>
    </xf>
    <xf borderId="2" fillId="6" fontId="4" numFmtId="0" xfId="0" applyAlignment="1" applyBorder="1" applyFill="1" applyFont="1">
      <alignment horizontal="left" readingOrder="0"/>
    </xf>
    <xf borderId="1" fillId="7" fontId="6" numFmtId="0" xfId="0" applyAlignment="1" applyBorder="1" applyFill="1" applyFont="1">
      <alignment horizontal="center" readingOrder="0"/>
    </xf>
    <xf borderId="1" fillId="7" fontId="6" numFmtId="164" xfId="0" applyAlignment="1" applyBorder="1" applyFont="1" applyNumberFormat="1">
      <alignment horizontal="center" readingOrder="0"/>
    </xf>
    <xf borderId="1" fillId="7" fontId="11" numFmtId="0" xfId="0" applyAlignment="1" applyBorder="1" applyFont="1">
      <alignment horizontal="left" readingOrder="0"/>
    </xf>
    <xf borderId="1" fillId="7" fontId="2" numFmtId="0" xfId="0" applyAlignment="1" applyBorder="1" applyFont="1">
      <alignment horizontal="center" readingOrder="0"/>
    </xf>
    <xf borderId="1" fillId="7" fontId="10" numFmtId="0" xfId="0" applyAlignment="1" applyBorder="1" applyFont="1">
      <alignment horizontal="left" readingOrder="0"/>
    </xf>
    <xf borderId="1" fillId="7" fontId="7" numFmtId="0" xfId="0" applyAlignment="1" applyBorder="1" applyFont="1">
      <alignment horizontal="left" readingOrder="0"/>
    </xf>
    <xf borderId="1" fillId="7" fontId="12" numFmtId="0" xfId="0" applyAlignment="1" applyBorder="1" applyFont="1">
      <alignment horizontal="left" readingOrder="0"/>
    </xf>
    <xf borderId="1" fillId="7" fontId="9" numFmtId="0" xfId="0" applyAlignment="1" applyBorder="1" applyFont="1">
      <alignment horizontal="left" readingOrder="0"/>
    </xf>
    <xf borderId="1" fillId="7" fontId="4" numFmtId="0" xfId="0" applyAlignment="1" applyBorder="1" applyFont="1">
      <alignment horizontal="left" readingOrder="0"/>
    </xf>
    <xf borderId="1" fillId="8" fontId="6" numFmtId="0" xfId="0" applyAlignment="1" applyBorder="1" applyFill="1" applyFont="1">
      <alignment horizontal="center" readingOrder="0"/>
    </xf>
    <xf borderId="1" fillId="8" fontId="6" numFmtId="164" xfId="0" applyAlignment="1" applyBorder="1" applyFont="1" applyNumberFormat="1">
      <alignment horizontal="center" readingOrder="0"/>
    </xf>
    <xf borderId="1" fillId="8" fontId="7" numFmtId="0" xfId="0" applyAlignment="1" applyBorder="1" applyFont="1">
      <alignment horizontal="left" readingOrder="0"/>
    </xf>
    <xf borderId="1" fillId="8" fontId="2" numFmtId="0" xfId="0" applyAlignment="1" applyBorder="1" applyFont="1">
      <alignment horizontal="center" readingOrder="0"/>
    </xf>
    <xf borderId="1" fillId="8" fontId="11" numFmtId="0" xfId="0" applyAlignment="1" applyBorder="1" applyFont="1">
      <alignment horizontal="left" readingOrder="0"/>
    </xf>
    <xf borderId="1" fillId="8" fontId="4" numFmtId="0" xfId="0" applyAlignment="1" applyBorder="1" applyFont="1">
      <alignment horizontal="left" readingOrder="0"/>
    </xf>
    <xf borderId="1" fillId="8" fontId="10" numFmtId="0" xfId="0" applyAlignment="1" applyBorder="1" applyFont="1">
      <alignment horizontal="left" readingOrder="0"/>
    </xf>
    <xf borderId="1" fillId="8" fontId="12" numFmtId="0" xfId="0" applyAlignment="1" applyBorder="1" applyFont="1">
      <alignment horizontal="left" readingOrder="0"/>
    </xf>
    <xf borderId="1" fillId="8" fontId="9" numFmtId="0" xfId="0" applyAlignment="1" applyBorder="1" applyFont="1">
      <alignment horizontal="left" readingOrder="0"/>
    </xf>
    <xf borderId="1" fillId="9" fontId="6" numFmtId="0" xfId="0" applyAlignment="1" applyBorder="1" applyFill="1" applyFont="1">
      <alignment horizontal="center" readingOrder="0"/>
    </xf>
    <xf borderId="1" fillId="9" fontId="6" numFmtId="164" xfId="0" applyAlignment="1" applyBorder="1" applyFont="1" applyNumberFormat="1">
      <alignment horizontal="center" readingOrder="0"/>
    </xf>
    <xf borderId="1" fillId="9" fontId="7" numFmtId="0" xfId="0" applyAlignment="1" applyBorder="1" applyFont="1">
      <alignment horizontal="left" readingOrder="0"/>
    </xf>
    <xf borderId="1" fillId="9" fontId="2" numFmtId="0" xfId="0" applyAlignment="1" applyBorder="1" applyFont="1">
      <alignment horizontal="center" readingOrder="0"/>
    </xf>
    <xf borderId="1" fillId="9" fontId="9" numFmtId="0" xfId="0" applyAlignment="1" applyBorder="1" applyFont="1">
      <alignment horizontal="left" readingOrder="0"/>
    </xf>
    <xf borderId="1" fillId="9" fontId="11" numFmtId="0" xfId="0" applyAlignment="1" applyBorder="1" applyFont="1">
      <alignment horizontal="left" readingOrder="0"/>
    </xf>
    <xf borderId="1" fillId="9" fontId="12" numFmtId="0" xfId="0" applyAlignment="1" applyBorder="1" applyFont="1">
      <alignment horizontal="left" readingOrder="0"/>
    </xf>
    <xf borderId="1" fillId="9" fontId="10" numFmtId="0" xfId="0" applyAlignment="1" applyBorder="1" applyFont="1">
      <alignment horizontal="left" readingOrder="0"/>
    </xf>
    <xf borderId="1" fillId="9" fontId="4" numFmtId="0" xfId="0" applyAlignment="1" applyBorder="1" applyFont="1">
      <alignment horizontal="left" readingOrder="0"/>
    </xf>
    <xf borderId="1" fillId="10" fontId="6" numFmtId="0" xfId="0" applyAlignment="1" applyBorder="1" applyFill="1" applyFont="1">
      <alignment horizontal="center" readingOrder="0"/>
    </xf>
    <xf borderId="1" fillId="10" fontId="6" numFmtId="164" xfId="0" applyAlignment="1" applyBorder="1" applyFont="1" applyNumberFormat="1">
      <alignment horizontal="center" readingOrder="0"/>
    </xf>
    <xf borderId="1" fillId="10" fontId="7" numFmtId="0" xfId="0" applyAlignment="1" applyBorder="1" applyFont="1">
      <alignment horizontal="left" readingOrder="0"/>
    </xf>
    <xf borderId="1" fillId="10" fontId="2" numFmtId="0" xfId="0" applyAlignment="1" applyBorder="1" applyFont="1">
      <alignment horizontal="center" readingOrder="0"/>
    </xf>
    <xf borderId="1" fillId="10" fontId="10" numFmtId="0" xfId="0" applyAlignment="1" applyBorder="1" applyFont="1">
      <alignment horizontal="left" readingOrder="0"/>
    </xf>
    <xf borderId="1" fillId="10" fontId="4" numFmtId="0" xfId="0" applyAlignment="1" applyBorder="1" applyFont="1">
      <alignment horizontal="left" readingOrder="0"/>
    </xf>
    <xf borderId="1" fillId="10" fontId="9" numFmtId="0" xfId="0" applyAlignment="1" applyBorder="1" applyFont="1">
      <alignment horizontal="left" readingOrder="0"/>
    </xf>
    <xf borderId="1" fillId="10" fontId="12" numFmtId="0" xfId="0" applyAlignment="1" applyBorder="1" applyFont="1">
      <alignment horizontal="left" readingOrder="0"/>
    </xf>
    <xf borderId="1" fillId="10" fontId="11" numFmtId="0" xfId="0" applyAlignment="1" applyBorder="1" applyFont="1">
      <alignment horizontal="left" readingOrder="0"/>
    </xf>
    <xf borderId="2" fillId="2" fontId="13" numFmtId="0" xfId="0" applyAlignment="1" applyBorder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1" fontId="14" numFmtId="0" xfId="0" applyAlignment="1" applyBorder="1" applyFont="1">
      <alignment horizontal="left" readingOrder="0"/>
    </xf>
    <xf borderId="1" fillId="11" fontId="4" numFmtId="0" xfId="0" applyAlignment="1" applyBorder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2" fontId="14" numFmtId="0" xfId="0" applyAlignment="1" applyBorder="1" applyFont="1">
      <alignment horizontal="left" readingOrder="0"/>
    </xf>
    <xf borderId="1" fillId="12" fontId="4" numFmtId="0" xfId="0" applyAlignment="1" applyBorder="1" applyFont="1">
      <alignment horizontal="center" readingOrder="0"/>
    </xf>
    <xf borderId="1" fillId="11" fontId="7" numFmtId="0" xfId="0" applyAlignment="1" applyBorder="1" applyFont="1">
      <alignment horizontal="center" readingOrder="0"/>
    </xf>
    <xf borderId="1" fillId="12" fontId="7" numFmtId="0" xfId="0" applyAlignment="1" applyBorder="1" applyFont="1">
      <alignment horizontal="center" readingOrder="0"/>
    </xf>
    <xf borderId="1" fillId="11" fontId="11" numFmtId="0" xfId="0" applyAlignment="1" applyBorder="1" applyFont="1">
      <alignment horizontal="center" readingOrder="0"/>
    </xf>
    <xf borderId="1" fillId="12" fontId="11" numFmtId="0" xfId="0" applyAlignment="1" applyBorder="1" applyFont="1">
      <alignment horizontal="center" readingOrder="0"/>
    </xf>
    <xf borderId="1" fillId="11" fontId="12" numFmtId="0" xfId="0" applyAlignment="1" applyBorder="1" applyFont="1">
      <alignment horizontal="center" readingOrder="0"/>
    </xf>
    <xf borderId="1" fillId="12" fontId="12" numFmtId="0" xfId="0" applyAlignment="1" applyBorder="1" applyFont="1">
      <alignment horizontal="center" readingOrder="0"/>
    </xf>
    <xf borderId="1" fillId="11" fontId="10" numFmtId="0" xfId="0" applyAlignment="1" applyBorder="1" applyFont="1">
      <alignment horizontal="center" readingOrder="0"/>
    </xf>
    <xf borderId="1" fillId="12" fontId="10" numFmtId="0" xfId="0" applyAlignment="1" applyBorder="1" applyFont="1">
      <alignment horizontal="center" readingOrder="0"/>
    </xf>
    <xf borderId="1" fillId="11" fontId="9" numFmtId="0" xfId="0" applyAlignment="1" applyBorder="1" applyFont="1">
      <alignment horizontal="center" readingOrder="0"/>
    </xf>
    <xf borderId="1" fillId="12" fontId="9" numFmtId="0" xfId="0" applyAlignment="1" applyBorder="1" applyFont="1">
      <alignment horizontal="center" readingOrder="0"/>
    </xf>
    <xf borderId="4" fillId="2" fontId="15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1" fillId="2" fontId="16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center" vertical="center"/>
    </xf>
    <xf borderId="1" fillId="12" fontId="18" numFmtId="0" xfId="0" applyAlignment="1" applyBorder="1" applyFont="1">
      <alignment horizontal="center" vertical="center"/>
    </xf>
    <xf borderId="1" fillId="12" fontId="19" numFmtId="0" xfId="0" applyAlignment="1" applyBorder="1" applyFont="1">
      <alignment horizontal="left" readingOrder="0" vertical="center"/>
    </xf>
    <xf borderId="1" fillId="12" fontId="18" numFmtId="0" xfId="0" applyAlignment="1" applyBorder="1" applyFont="1">
      <alignment horizontal="center" readingOrder="0" vertical="center"/>
    </xf>
    <xf borderId="1" fillId="11" fontId="20" numFmtId="0" xfId="0" applyAlignment="1" applyBorder="1" applyFont="1">
      <alignment horizontal="center" vertical="center"/>
    </xf>
    <xf borderId="1" fillId="11" fontId="19" numFmtId="0" xfId="0" applyAlignment="1" applyBorder="1" applyFont="1">
      <alignment horizontal="left" readingOrder="0" vertical="center"/>
    </xf>
    <xf borderId="1" fillId="11" fontId="18" numFmtId="0" xfId="0" applyAlignment="1" applyBorder="1" applyFont="1">
      <alignment horizontal="center" readingOrder="0" vertical="center"/>
    </xf>
    <xf borderId="1" fillId="12" fontId="21" numFmtId="0" xfId="0" applyAlignment="1" applyBorder="1" applyFont="1">
      <alignment horizontal="center" vertical="center"/>
    </xf>
    <xf borderId="1" fillId="11" fontId="22" numFmtId="0" xfId="0" applyAlignment="1" applyBorder="1" applyFont="1">
      <alignment horizontal="center" vertical="center"/>
    </xf>
    <xf borderId="1" fillId="11" fontId="19" numFmtId="0" xfId="0" applyAlignment="1" applyBorder="1" applyFont="1">
      <alignment horizontal="center" readingOrder="0" vertical="center"/>
    </xf>
    <xf borderId="1" fillId="12" fontId="22" numFmtId="0" xfId="0" applyAlignment="1" applyBorder="1" applyFont="1">
      <alignment horizontal="center" vertical="center"/>
    </xf>
    <xf borderId="1" fillId="12" fontId="19" numFmtId="0" xfId="0" applyAlignment="1" applyBorder="1" applyFont="1">
      <alignment horizontal="center" readingOrder="0" vertical="center"/>
    </xf>
    <xf borderId="1" fillId="12" fontId="19" numFmtId="0" xfId="0" applyAlignment="1" applyBorder="1" applyFont="1">
      <alignment horizontal="left" vertical="center"/>
    </xf>
    <xf borderId="1" fillId="12" fontId="19" numFmtId="0" xfId="0" applyAlignment="1" applyBorder="1" applyFont="1">
      <alignment horizontal="center" vertical="center"/>
    </xf>
    <xf borderId="1" fillId="11" fontId="19" numFmtId="0" xfId="0" applyAlignment="1" applyBorder="1" applyFont="1">
      <alignment horizontal="left" vertical="center"/>
    </xf>
    <xf borderId="1" fillId="11" fontId="19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readingOrder="0"/>
    </xf>
    <xf borderId="1" fillId="11" fontId="6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1" fontId="23" numFmtId="0" xfId="0" applyAlignment="1" applyBorder="1" applyFont="1">
      <alignment horizontal="center" readingOrder="0"/>
    </xf>
    <xf borderId="1" fillId="12" fontId="6" numFmtId="0" xfId="0" applyAlignment="1" applyBorder="1" applyFont="1">
      <alignment horizontal="center" readingOrder="0"/>
    </xf>
    <xf borderId="1" fillId="12" fontId="1" numFmtId="0" xfId="0" applyAlignment="1" applyBorder="1" applyFont="1">
      <alignment horizontal="center" readingOrder="0"/>
    </xf>
    <xf borderId="1" fillId="12" fontId="23" numFmtId="0" xfId="0" applyAlignment="1" applyBorder="1" applyFont="1">
      <alignment horizontal="center" readingOrder="0"/>
    </xf>
    <xf borderId="1" fillId="11" fontId="24" numFmtId="0" xfId="0" applyAlignment="1" applyBorder="1" applyFont="1">
      <alignment horizontal="center" readingOrder="0"/>
    </xf>
    <xf borderId="1" fillId="12" fontId="24" numFmtId="0" xfId="0" applyAlignment="1" applyBorder="1" applyFont="1">
      <alignment horizontal="center" readingOrder="0"/>
    </xf>
    <xf borderId="1" fillId="11" fontId="25" numFmtId="0" xfId="0" applyAlignment="1" applyBorder="1" applyFont="1">
      <alignment horizontal="center" readingOrder="0"/>
    </xf>
    <xf borderId="1" fillId="12" fontId="25" numFmtId="0" xfId="0" applyAlignment="1" applyBorder="1" applyFont="1">
      <alignment horizontal="center" readingOrder="0"/>
    </xf>
    <xf borderId="1" fillId="11" fontId="26" numFmtId="0" xfId="0" applyAlignment="1" applyBorder="1" applyFont="1">
      <alignment horizontal="center" readingOrder="0"/>
    </xf>
    <xf borderId="1" fillId="12" fontId="26" numFmtId="0" xfId="0" applyAlignment="1" applyBorder="1" applyFont="1">
      <alignment horizontal="center" readingOrder="0"/>
    </xf>
    <xf borderId="1" fillId="11" fontId="27" numFmtId="0" xfId="0" applyAlignment="1" applyBorder="1" applyFont="1">
      <alignment horizontal="center" readingOrder="0"/>
    </xf>
    <xf borderId="1" fillId="12" fontId="27" numFmtId="0" xfId="0" applyAlignment="1" applyBorder="1" applyFont="1">
      <alignment horizontal="center" readingOrder="0"/>
    </xf>
    <xf borderId="1" fillId="11" fontId="28" numFmtId="0" xfId="0" applyAlignment="1" applyBorder="1" applyFont="1">
      <alignment horizontal="center" readingOrder="0"/>
    </xf>
    <xf borderId="1" fillId="12" fontId="28" numFmtId="0" xfId="0" applyAlignment="1" applyBorder="1" applyFont="1">
      <alignment horizontal="center" readingOrder="0"/>
    </xf>
    <xf borderId="0" fillId="13" fontId="29" numFmtId="0" xfId="0" applyAlignment="1" applyFill="1" applyFont="1">
      <alignment horizontal="left" readingOrder="0" vertical="bottom"/>
    </xf>
    <xf borderId="0" fillId="14" fontId="8" numFmtId="0" xfId="0" applyAlignment="1" applyFill="1" applyFont="1">
      <alignment readingOrder="0"/>
    </xf>
    <xf borderId="0" fillId="15" fontId="29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0" numFmtId="0" xfId="0" applyAlignment="1" applyFont="1">
      <alignment horizontal="left" readingOrder="0" vertical="bottom"/>
    </xf>
    <xf borderId="0" fillId="16" fontId="2" numFmtId="0" xfId="0" applyAlignment="1" applyFill="1" applyFont="1">
      <alignment horizontal="left" vertical="bottom"/>
    </xf>
    <xf borderId="0" fillId="16" fontId="30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17" fontId="29" numFmtId="0" xfId="0" applyAlignment="1" applyFill="1" applyFont="1">
      <alignment horizontal="left" readingOrder="0" vertical="bottom"/>
    </xf>
    <xf borderId="0" fillId="17" fontId="2" numFmtId="0" xfId="0" applyFont="1"/>
    <xf borderId="0" fillId="17" fontId="2" numFmtId="0" xfId="0" applyAlignment="1" applyFont="1">
      <alignment horizontal="left" vertical="bottom"/>
    </xf>
    <xf borderId="4" fillId="2" fontId="1" numFmtId="0" xfId="0" applyAlignment="1" applyBorder="1" applyFont="1">
      <alignment horizontal="center" vertical="center"/>
    </xf>
    <xf borderId="1" fillId="18" fontId="19" numFmtId="0" xfId="0" applyAlignment="1" applyBorder="1" applyFill="1" applyFont="1">
      <alignment horizontal="center" vertical="center"/>
    </xf>
    <xf borderId="1" fillId="18" fontId="22" numFmtId="0" xfId="0" applyAlignment="1" applyBorder="1" applyFont="1">
      <alignment horizontal="left" vertical="center"/>
    </xf>
    <xf borderId="1" fillId="18" fontId="18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readingOrder="0"/>
    </xf>
    <xf borderId="1" fillId="19" fontId="19" numFmtId="0" xfId="0" applyAlignment="1" applyBorder="1" applyFill="1" applyFont="1">
      <alignment horizontal="center" vertical="center"/>
    </xf>
    <xf borderId="1" fillId="19" fontId="22" numFmtId="0" xfId="0" applyAlignment="1" applyBorder="1" applyFont="1">
      <alignment horizontal="left" vertical="center"/>
    </xf>
    <xf borderId="1" fillId="19" fontId="18" numFmtId="0" xfId="0" applyAlignment="1" applyBorder="1" applyFont="1">
      <alignment horizontal="center" vertical="center"/>
    </xf>
    <xf borderId="1" fillId="19" fontId="20" numFmtId="0" xfId="0" applyAlignment="1" applyBorder="1" applyFont="1">
      <alignment horizontal="center" vertical="center"/>
    </xf>
    <xf borderId="1" fillId="20" fontId="19" numFmtId="0" xfId="0" applyAlignment="1" applyBorder="1" applyFill="1" applyFont="1">
      <alignment horizontal="center" vertical="center"/>
    </xf>
    <xf borderId="1" fillId="20" fontId="22" numFmtId="0" xfId="0" applyAlignment="1" applyBorder="1" applyFont="1">
      <alignment horizontal="left" vertical="center"/>
    </xf>
    <xf borderId="1" fillId="20" fontId="18" numFmtId="0" xfId="0" applyAlignment="1" applyBorder="1" applyFont="1">
      <alignment horizontal="center" vertical="center"/>
    </xf>
    <xf borderId="1" fillId="20" fontId="21" numFmtId="0" xfId="0" applyAlignment="1" applyBorder="1" applyFont="1">
      <alignment horizontal="center" vertical="center"/>
    </xf>
    <xf borderId="0" fillId="21" fontId="31" numFmtId="0" xfId="0" applyAlignment="1" applyFill="1" applyFont="1">
      <alignment horizontal="center" readingOrder="0"/>
    </xf>
    <xf borderId="0" fillId="22" fontId="2" numFmtId="0" xfId="0" applyAlignment="1" applyFill="1" applyFont="1">
      <alignment readingOrder="0"/>
    </xf>
    <xf borderId="0" fillId="22" fontId="2" numFmtId="0" xfId="0" applyAlignment="1" applyFont="1">
      <alignment readingOrder="0"/>
    </xf>
    <xf borderId="0" fillId="22" fontId="2" numFmtId="0" xfId="0" applyFont="1"/>
    <xf borderId="0" fillId="23" fontId="2" numFmtId="0" xfId="0" applyAlignment="1" applyFill="1" applyFont="1">
      <alignment readingOrder="0"/>
    </xf>
    <xf borderId="0" fillId="23" fontId="2" numFmtId="0" xfId="0" applyAlignment="1" applyFont="1">
      <alignment readingOrder="0"/>
    </xf>
    <xf borderId="0" fillId="23" fontId="2" numFmtId="0" xfId="0" applyFont="1"/>
    <xf borderId="0" fillId="23" fontId="2" numFmtId="0" xfId="0" applyAlignment="1" applyFont="1">
      <alignment horizontal="center" readingOrder="0"/>
    </xf>
    <xf borderId="0" fillId="22" fontId="32" numFmtId="0" xfId="0" applyAlignment="1" applyFont="1">
      <alignment readingOrder="0"/>
    </xf>
    <xf borderId="7" fillId="2" fontId="15" numFmtId="0" xfId="0" applyAlignment="1" applyBorder="1" applyFont="1">
      <alignment horizontal="left" vertical="center"/>
    </xf>
    <xf borderId="7" fillId="2" fontId="19" numFmtId="0" xfId="0" applyAlignment="1" applyBorder="1" applyFont="1">
      <alignment horizontal="left" vertical="center"/>
    </xf>
    <xf borderId="7" fillId="24" fontId="33" numFmtId="0" xfId="0" applyAlignment="1" applyBorder="1" applyFill="1" applyFont="1">
      <alignment horizontal="left" vertical="center"/>
    </xf>
    <xf borderId="7" fillId="11" fontId="19" numFmtId="0" xfId="0" applyAlignment="1" applyBorder="1" applyFont="1">
      <alignment horizontal="left" vertical="center"/>
    </xf>
    <xf borderId="7" fillId="11" fontId="34" numFmtId="0" xfId="0" applyAlignment="1" applyBorder="1" applyFont="1">
      <alignment horizontal="left" vertical="center"/>
    </xf>
    <xf borderId="7" fillId="11" fontId="35" numFmtId="0" xfId="0" applyAlignment="1" applyBorder="1" applyFont="1">
      <alignment horizontal="left" vertical="center"/>
    </xf>
    <xf borderId="7" fillId="11" fontId="36" numFmtId="0" xfId="0" applyAlignment="1" applyBorder="1" applyFont="1">
      <alignment horizontal="left" vertical="center"/>
    </xf>
    <xf borderId="7" fillId="24" fontId="18" numFmtId="0" xfId="0" applyAlignment="1" applyBorder="1" applyFont="1">
      <alignment horizontal="left" vertical="center"/>
    </xf>
    <xf borderId="7" fillId="11" fontId="22" numFmtId="0" xfId="0" applyAlignment="1" applyBorder="1" applyFont="1">
      <alignment horizontal="left" vertical="center"/>
    </xf>
    <xf borderId="7" fillId="11" fontId="35" numFmtId="0" xfId="0" applyAlignment="1" applyBorder="1" applyFont="1">
      <alignment horizontal="left" readingOrder="0" vertical="center"/>
    </xf>
    <xf borderId="7" fillId="11" fontId="37" numFmtId="0" xfId="0" applyAlignment="1" applyBorder="1" applyFont="1">
      <alignment horizontal="left" vertical="center"/>
    </xf>
    <xf borderId="7" fillId="11" fontId="36" numFmtId="0" xfId="0" applyAlignment="1" applyBorder="1" applyFont="1">
      <alignment horizontal="left" readingOrder="0" vertical="center"/>
    </xf>
    <xf borderId="7" fillId="11" fontId="38" numFmtId="0" xfId="0" applyAlignment="1" applyBorder="1" applyFont="1">
      <alignment horizontal="left" vertical="center"/>
    </xf>
    <xf borderId="7" fillId="11" fontId="39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8B22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3.0"/>
    <col customWidth="1" min="3" max="3" width="22.0"/>
    <col customWidth="1" min="4" max="4" width="5.0"/>
    <col customWidth="1" min="5" max="5" width="3.0"/>
    <col customWidth="1" min="6" max="6" width="5.0"/>
    <col customWidth="1" min="7" max="7" width="22.0"/>
    <col customWidth="1" min="8" max="8" width="15.0"/>
    <col customWidth="1" min="9" max="9" width="19.14"/>
    <col customWidth="1" min="10" max="10" width="20.0"/>
    <col customWidth="1" min="11" max="26" width="8.71"/>
  </cols>
  <sheetData>
    <row r="1" ht="27.75" customHeight="1">
      <c r="A1" s="1" t="s">
        <v>0</v>
      </c>
      <c r="I1" s="2"/>
    </row>
    <row r="2" ht="18.0" customHeight="1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4</v>
      </c>
      <c r="G2" s="3" t="s">
        <v>6</v>
      </c>
      <c r="H2" s="3" t="s">
        <v>7</v>
      </c>
      <c r="I2" s="2" t="s">
        <v>8</v>
      </c>
      <c r="J2" s="2" t="s">
        <v>9</v>
      </c>
      <c r="K2" s="2"/>
    </row>
    <row r="3" ht="18.0" customHeight="1">
      <c r="A3" s="5" t="s">
        <v>10</v>
      </c>
      <c r="B3" s="6"/>
      <c r="C3" s="6"/>
      <c r="D3" s="6"/>
      <c r="E3" s="6"/>
      <c r="F3" s="6"/>
      <c r="G3" s="6"/>
      <c r="H3" s="7"/>
    </row>
    <row r="4" ht="16.5" customHeight="1">
      <c r="A4" s="8">
        <v>1.0</v>
      </c>
      <c r="B4" s="9">
        <v>46176.0</v>
      </c>
      <c r="C4" s="10" t="s">
        <v>11</v>
      </c>
      <c r="D4" s="11">
        <v>5.0</v>
      </c>
      <c r="E4" s="8" t="s">
        <v>12</v>
      </c>
      <c r="F4" s="12">
        <v>1.0</v>
      </c>
      <c r="G4" s="13" t="s">
        <v>13</v>
      </c>
      <c r="H4" s="14" t="s">
        <v>14</v>
      </c>
      <c r="I4" s="2" t="s">
        <v>15</v>
      </c>
      <c r="J4" s="2" t="s">
        <v>11</v>
      </c>
    </row>
    <row r="5" ht="16.5" customHeight="1">
      <c r="A5" s="8">
        <v>1.0</v>
      </c>
      <c r="B5" s="9">
        <v>46176.0</v>
      </c>
      <c r="C5" s="15" t="s">
        <v>16</v>
      </c>
      <c r="D5" s="14">
        <v>3.0</v>
      </c>
      <c r="E5" s="8" t="s">
        <v>12</v>
      </c>
      <c r="F5" s="14">
        <v>3.0</v>
      </c>
      <c r="G5" s="13" t="s">
        <v>17</v>
      </c>
      <c r="H5" s="14" t="s">
        <v>18</v>
      </c>
      <c r="I5" s="2" t="s">
        <v>19</v>
      </c>
      <c r="J5" s="2" t="s">
        <v>16</v>
      </c>
    </row>
    <row r="6" ht="16.5" customHeight="1">
      <c r="A6" s="8">
        <v>1.0</v>
      </c>
      <c r="B6" s="9">
        <v>46176.0</v>
      </c>
      <c r="C6" s="16" t="s">
        <v>20</v>
      </c>
      <c r="D6" s="14">
        <v>4.0</v>
      </c>
      <c r="E6" s="8" t="s">
        <v>12</v>
      </c>
      <c r="F6" s="14">
        <v>7.0</v>
      </c>
      <c r="G6" s="17" t="s">
        <v>21</v>
      </c>
      <c r="H6" s="14" t="s">
        <v>22</v>
      </c>
      <c r="I6" s="2" t="s">
        <v>23</v>
      </c>
      <c r="J6" s="2" t="s">
        <v>21</v>
      </c>
    </row>
    <row r="7" ht="16.5" customHeight="1">
      <c r="A7" s="8">
        <v>1.0</v>
      </c>
      <c r="B7" s="9">
        <v>46177.0</v>
      </c>
      <c r="C7" s="16" t="s">
        <v>24</v>
      </c>
      <c r="D7" s="14">
        <v>5.0</v>
      </c>
      <c r="E7" s="8" t="s">
        <v>12</v>
      </c>
      <c r="F7" s="14">
        <v>5.0</v>
      </c>
      <c r="G7" s="10" t="s">
        <v>25</v>
      </c>
      <c r="H7" s="14" t="s">
        <v>14</v>
      </c>
      <c r="I7" s="2" t="s">
        <v>26</v>
      </c>
      <c r="J7" s="2" t="s">
        <v>25</v>
      </c>
    </row>
    <row r="8" ht="16.5" customHeight="1">
      <c r="A8" s="8">
        <v>1.0</v>
      </c>
      <c r="B8" s="9">
        <v>46177.0</v>
      </c>
      <c r="C8" s="10" t="s">
        <v>27</v>
      </c>
      <c r="D8" s="14">
        <v>2.0</v>
      </c>
      <c r="E8" s="8" t="s">
        <v>12</v>
      </c>
      <c r="F8" s="14">
        <v>1.0</v>
      </c>
      <c r="G8" s="18" t="s">
        <v>28</v>
      </c>
      <c r="H8" s="14" t="s">
        <v>18</v>
      </c>
      <c r="I8" s="2" t="s">
        <v>29</v>
      </c>
      <c r="J8" s="2" t="s">
        <v>27</v>
      </c>
    </row>
    <row r="9" ht="17.25" customHeight="1">
      <c r="A9" s="8">
        <v>1.0</v>
      </c>
      <c r="B9" s="9">
        <v>46177.0</v>
      </c>
      <c r="C9" s="16" t="s">
        <v>30</v>
      </c>
      <c r="D9" s="14">
        <v>5.0</v>
      </c>
      <c r="E9" s="8" t="s">
        <v>12</v>
      </c>
      <c r="F9" s="14">
        <v>3.0</v>
      </c>
      <c r="G9" s="15" t="s">
        <v>31</v>
      </c>
      <c r="H9" s="14" t="s">
        <v>22</v>
      </c>
      <c r="I9" s="2" t="s">
        <v>32</v>
      </c>
      <c r="J9" s="2" t="s">
        <v>30</v>
      </c>
      <c r="K9" s="2"/>
    </row>
    <row r="10" ht="16.5" customHeight="1">
      <c r="A10" s="8">
        <v>1.0</v>
      </c>
      <c r="B10" s="9">
        <v>46178.0</v>
      </c>
      <c r="C10" s="10" t="s">
        <v>33</v>
      </c>
      <c r="D10" s="14">
        <v>11.0</v>
      </c>
      <c r="E10" s="8" t="s">
        <v>12</v>
      </c>
      <c r="F10" s="14">
        <v>2.0</v>
      </c>
      <c r="G10" s="17" t="s">
        <v>34</v>
      </c>
      <c r="H10" s="14" t="s">
        <v>14</v>
      </c>
      <c r="I10" s="2" t="s">
        <v>35</v>
      </c>
      <c r="J10" s="2" t="s">
        <v>33</v>
      </c>
    </row>
    <row r="11" ht="16.5" customHeight="1">
      <c r="A11" s="8">
        <v>1.0</v>
      </c>
      <c r="B11" s="9">
        <v>46178.0</v>
      </c>
      <c r="C11" s="10" t="s">
        <v>36</v>
      </c>
      <c r="D11" s="14">
        <v>2.0</v>
      </c>
      <c r="E11" s="8" t="s">
        <v>12</v>
      </c>
      <c r="F11" s="14">
        <v>3.0</v>
      </c>
      <c r="G11" s="15" t="s">
        <v>37</v>
      </c>
      <c r="H11" s="14" t="s">
        <v>18</v>
      </c>
      <c r="I11" s="2" t="s">
        <v>38</v>
      </c>
      <c r="J11" s="2" t="s">
        <v>39</v>
      </c>
    </row>
    <row r="12" ht="16.5" customHeight="1">
      <c r="A12" s="8">
        <v>1.0</v>
      </c>
      <c r="B12" s="9">
        <v>46178.0</v>
      </c>
      <c r="C12" s="16" t="s">
        <v>40</v>
      </c>
      <c r="D12" s="14">
        <v>11.0</v>
      </c>
      <c r="E12" s="8" t="s">
        <v>12</v>
      </c>
      <c r="F12" s="14">
        <v>2.0</v>
      </c>
      <c r="G12" s="13" t="s">
        <v>41</v>
      </c>
      <c r="H12" s="14" t="s">
        <v>22</v>
      </c>
      <c r="I12" s="2" t="s">
        <v>42</v>
      </c>
      <c r="J12" s="2" t="s">
        <v>40</v>
      </c>
    </row>
    <row r="13" ht="18.0" customHeight="1">
      <c r="A13" s="8">
        <v>1.0</v>
      </c>
      <c r="B13" s="9">
        <v>46181.0</v>
      </c>
      <c r="C13" s="15" t="s">
        <v>43</v>
      </c>
      <c r="D13" s="14">
        <v>3.0</v>
      </c>
      <c r="E13" s="8" t="s">
        <v>12</v>
      </c>
      <c r="F13" s="14">
        <v>2.0</v>
      </c>
      <c r="G13" s="13" t="s">
        <v>44</v>
      </c>
      <c r="H13" s="14" t="s">
        <v>14</v>
      </c>
      <c r="I13" s="2" t="s">
        <v>45</v>
      </c>
      <c r="J13" s="2" t="s">
        <v>43</v>
      </c>
    </row>
    <row r="14" ht="16.5" customHeight="1">
      <c r="A14" s="8">
        <v>1.0</v>
      </c>
      <c r="B14" s="9">
        <v>46181.0</v>
      </c>
      <c r="C14" s="16" t="s">
        <v>46</v>
      </c>
      <c r="D14" s="14">
        <v>4.0</v>
      </c>
      <c r="E14" s="8" t="s">
        <v>12</v>
      </c>
      <c r="F14" s="14">
        <v>9.0</v>
      </c>
      <c r="G14" s="17" t="s">
        <v>47</v>
      </c>
      <c r="H14" s="14" t="s">
        <v>18</v>
      </c>
      <c r="I14" s="2" t="s">
        <v>48</v>
      </c>
      <c r="J14" s="2" t="s">
        <v>47</v>
      </c>
    </row>
    <row r="15" ht="16.5" customHeight="1">
      <c r="A15" s="8">
        <v>1.0</v>
      </c>
      <c r="B15" s="9">
        <v>46181.0</v>
      </c>
      <c r="C15" s="17" t="s">
        <v>49</v>
      </c>
      <c r="D15" s="14">
        <v>4.0</v>
      </c>
      <c r="E15" s="8" t="s">
        <v>12</v>
      </c>
      <c r="F15" s="14">
        <v>7.0</v>
      </c>
      <c r="G15" s="13" t="s">
        <v>50</v>
      </c>
      <c r="H15" s="14" t="s">
        <v>22</v>
      </c>
      <c r="I15" s="2" t="s">
        <v>51</v>
      </c>
      <c r="J15" s="2" t="s">
        <v>50</v>
      </c>
    </row>
    <row r="16" ht="18.0" customHeight="1">
      <c r="A16" s="19" t="s">
        <v>52</v>
      </c>
      <c r="B16" s="6"/>
      <c r="C16" s="6"/>
      <c r="D16" s="6"/>
      <c r="E16" s="6"/>
      <c r="F16" s="6"/>
      <c r="G16" s="6"/>
      <c r="H16" s="7"/>
    </row>
    <row r="17" ht="16.5" customHeight="1">
      <c r="A17" s="20">
        <v>2.0</v>
      </c>
      <c r="B17" s="21">
        <v>46182.0</v>
      </c>
      <c r="C17" s="22" t="s">
        <v>24</v>
      </c>
      <c r="D17" s="23">
        <v>3.0</v>
      </c>
      <c r="E17" s="20" t="s">
        <v>12</v>
      </c>
      <c r="F17" s="23">
        <v>3.0</v>
      </c>
      <c r="G17" s="24" t="s">
        <v>21</v>
      </c>
      <c r="H17" s="23" t="s">
        <v>14</v>
      </c>
      <c r="I17" s="2" t="s">
        <v>53</v>
      </c>
      <c r="J17" s="2" t="s">
        <v>24</v>
      </c>
    </row>
    <row r="18" ht="16.5" customHeight="1">
      <c r="A18" s="20">
        <v>2.0</v>
      </c>
      <c r="B18" s="21">
        <v>46182.0</v>
      </c>
      <c r="C18" s="25" t="s">
        <v>17</v>
      </c>
      <c r="D18" s="23">
        <v>2.0</v>
      </c>
      <c r="E18" s="20" t="s">
        <v>12</v>
      </c>
      <c r="F18" s="23">
        <v>1.0</v>
      </c>
      <c r="G18" s="26" t="s">
        <v>27</v>
      </c>
      <c r="H18" s="23" t="s">
        <v>18</v>
      </c>
      <c r="I18" s="2" t="s">
        <v>54</v>
      </c>
      <c r="J18" s="2" t="s">
        <v>17</v>
      </c>
    </row>
    <row r="19" ht="16.5" customHeight="1">
      <c r="A19" s="20">
        <v>2.0</v>
      </c>
      <c r="B19" s="21">
        <v>46182.0</v>
      </c>
      <c r="C19" s="25" t="s">
        <v>28</v>
      </c>
      <c r="D19" s="23">
        <v>1.0</v>
      </c>
      <c r="E19" s="20" t="s">
        <v>12</v>
      </c>
      <c r="F19" s="23">
        <v>3.0</v>
      </c>
      <c r="G19" s="27" t="s">
        <v>31</v>
      </c>
      <c r="H19" s="23" t="s">
        <v>22</v>
      </c>
      <c r="I19" s="2" t="s">
        <v>55</v>
      </c>
      <c r="J19" s="2" t="s">
        <v>31</v>
      </c>
    </row>
    <row r="20" ht="16.5" customHeight="1">
      <c r="A20" s="20">
        <v>2.0</v>
      </c>
      <c r="B20" s="21">
        <v>46183.0</v>
      </c>
      <c r="C20" s="28" t="s">
        <v>30</v>
      </c>
      <c r="D20" s="23">
        <v>10.0</v>
      </c>
      <c r="E20" s="20" t="s">
        <v>12</v>
      </c>
      <c r="F20" s="23">
        <v>5.0</v>
      </c>
      <c r="G20" s="26" t="s">
        <v>44</v>
      </c>
      <c r="H20" s="23" t="s">
        <v>14</v>
      </c>
      <c r="I20" s="2" t="s">
        <v>56</v>
      </c>
      <c r="J20" s="2" t="s">
        <v>30</v>
      </c>
    </row>
    <row r="21" ht="16.5" customHeight="1">
      <c r="A21" s="20">
        <v>2.0</v>
      </c>
      <c r="B21" s="21">
        <v>46183.0</v>
      </c>
      <c r="C21" s="22" t="s">
        <v>37</v>
      </c>
      <c r="D21" s="23">
        <v>3.0</v>
      </c>
      <c r="E21" s="20" t="s">
        <v>12</v>
      </c>
      <c r="F21" s="23">
        <v>4.0</v>
      </c>
      <c r="G21" s="27" t="s">
        <v>34</v>
      </c>
      <c r="H21" s="23" t="s">
        <v>18</v>
      </c>
      <c r="I21" s="2" t="s">
        <v>57</v>
      </c>
      <c r="J21" s="2" t="s">
        <v>34</v>
      </c>
    </row>
    <row r="22" ht="16.5" customHeight="1">
      <c r="A22" s="20">
        <v>2.0</v>
      </c>
      <c r="B22" s="21">
        <v>46183.0</v>
      </c>
      <c r="C22" s="26" t="s">
        <v>40</v>
      </c>
      <c r="D22" s="23">
        <v>4.0</v>
      </c>
      <c r="E22" s="20" t="s">
        <v>12</v>
      </c>
      <c r="F22" s="23">
        <v>4.0</v>
      </c>
      <c r="G22" s="24" t="s">
        <v>33</v>
      </c>
      <c r="H22" s="23" t="s">
        <v>22</v>
      </c>
      <c r="I22" s="2" t="s">
        <v>58</v>
      </c>
      <c r="J22" s="2" t="s">
        <v>40</v>
      </c>
    </row>
    <row r="23" ht="16.5" customHeight="1">
      <c r="A23" s="20">
        <v>2.0</v>
      </c>
      <c r="B23" s="21">
        <v>46184.0</v>
      </c>
      <c r="C23" s="26" t="s">
        <v>36</v>
      </c>
      <c r="D23" s="23">
        <v>4.0</v>
      </c>
      <c r="E23" s="20" t="s">
        <v>12</v>
      </c>
      <c r="F23" s="23">
        <v>2.0</v>
      </c>
      <c r="G23" s="27" t="s">
        <v>13</v>
      </c>
      <c r="H23" s="23" t="s">
        <v>14</v>
      </c>
      <c r="I23" s="2" t="s">
        <v>59</v>
      </c>
      <c r="J23" s="2" t="s">
        <v>36</v>
      </c>
    </row>
    <row r="24" ht="16.5" customHeight="1">
      <c r="A24" s="20">
        <v>2.0</v>
      </c>
      <c r="B24" s="21">
        <v>46184.0</v>
      </c>
      <c r="C24" s="28" t="s">
        <v>16</v>
      </c>
      <c r="D24" s="23">
        <v>5.0</v>
      </c>
      <c r="E24" s="20" t="s">
        <v>12</v>
      </c>
      <c r="F24" s="23">
        <v>1.0</v>
      </c>
      <c r="G24" s="22" t="s">
        <v>50</v>
      </c>
      <c r="H24" s="23" t="s">
        <v>18</v>
      </c>
      <c r="I24" s="2" t="s">
        <v>60</v>
      </c>
      <c r="J24" s="2" t="s">
        <v>16</v>
      </c>
    </row>
    <row r="25" ht="16.5" customHeight="1">
      <c r="A25" s="20">
        <v>2.0</v>
      </c>
      <c r="B25" s="21">
        <v>46184.0</v>
      </c>
      <c r="C25" s="26" t="s">
        <v>11</v>
      </c>
      <c r="D25" s="23">
        <v>4.0</v>
      </c>
      <c r="E25" s="20" t="s">
        <v>12</v>
      </c>
      <c r="F25" s="23">
        <v>3.0</v>
      </c>
      <c r="G25" s="24" t="s">
        <v>49</v>
      </c>
      <c r="H25" s="23" t="s">
        <v>22</v>
      </c>
      <c r="I25" s="2" t="s">
        <v>61</v>
      </c>
      <c r="J25" s="2" t="s">
        <v>11</v>
      </c>
    </row>
    <row r="26" ht="16.5" customHeight="1">
      <c r="A26" s="20">
        <v>2.0</v>
      </c>
      <c r="B26" s="21">
        <v>46185.0</v>
      </c>
      <c r="C26" s="28" t="s">
        <v>43</v>
      </c>
      <c r="D26" s="23">
        <v>5.0</v>
      </c>
      <c r="E26" s="20" t="s">
        <v>12</v>
      </c>
      <c r="F26" s="23">
        <v>8.0</v>
      </c>
      <c r="G26" s="26" t="s">
        <v>47</v>
      </c>
      <c r="H26" s="23" t="s">
        <v>14</v>
      </c>
      <c r="I26" s="2" t="s">
        <v>62</v>
      </c>
      <c r="J26" s="2" t="s">
        <v>47</v>
      </c>
    </row>
    <row r="27" ht="16.5" customHeight="1">
      <c r="A27" s="20">
        <v>2.0</v>
      </c>
      <c r="B27" s="21">
        <v>46185.0</v>
      </c>
      <c r="C27" s="28" t="s">
        <v>20</v>
      </c>
      <c r="D27" s="23">
        <v>6.0</v>
      </c>
      <c r="E27" s="20" t="s">
        <v>12</v>
      </c>
      <c r="F27" s="23">
        <v>5.0</v>
      </c>
      <c r="G27" s="27" t="s">
        <v>46</v>
      </c>
      <c r="H27" s="23" t="s">
        <v>18</v>
      </c>
      <c r="I27" s="2" t="s">
        <v>63</v>
      </c>
      <c r="J27" s="2" t="s">
        <v>20</v>
      </c>
    </row>
    <row r="28" ht="16.5" customHeight="1">
      <c r="A28" s="20">
        <v>2.0</v>
      </c>
      <c r="B28" s="21">
        <v>46185.0</v>
      </c>
      <c r="C28" s="22" t="s">
        <v>41</v>
      </c>
      <c r="D28" s="23">
        <v>2.0</v>
      </c>
      <c r="E28" s="20" t="s">
        <v>12</v>
      </c>
      <c r="F28" s="23">
        <v>7.0</v>
      </c>
      <c r="G28" s="24" t="s">
        <v>25</v>
      </c>
      <c r="H28" s="23" t="s">
        <v>22</v>
      </c>
      <c r="I28" s="2" t="s">
        <v>64</v>
      </c>
      <c r="J28" s="2" t="s">
        <v>25</v>
      </c>
    </row>
    <row r="29" ht="18.0" customHeight="1">
      <c r="A29" s="5" t="s">
        <v>65</v>
      </c>
      <c r="B29" s="6"/>
      <c r="C29" s="6"/>
      <c r="D29" s="6"/>
      <c r="E29" s="6"/>
      <c r="F29" s="6"/>
      <c r="G29" s="6"/>
      <c r="H29" s="7"/>
    </row>
    <row r="30" ht="16.5" customHeight="1">
      <c r="A30" s="29">
        <v>3.0</v>
      </c>
      <c r="B30" s="30">
        <v>46188.0</v>
      </c>
      <c r="C30" s="31" t="s">
        <v>21</v>
      </c>
      <c r="D30" s="32">
        <v>6.0</v>
      </c>
      <c r="E30" s="29" t="s">
        <v>12</v>
      </c>
      <c r="F30" s="32">
        <v>2.0</v>
      </c>
      <c r="G30" s="33" t="s">
        <v>37</v>
      </c>
      <c r="H30" s="32" t="s">
        <v>14</v>
      </c>
      <c r="I30" s="2" t="s">
        <v>66</v>
      </c>
      <c r="J30" s="2" t="s">
        <v>21</v>
      </c>
    </row>
    <row r="31" ht="16.5" customHeight="1">
      <c r="A31" s="29">
        <v>3.0</v>
      </c>
      <c r="B31" s="30">
        <v>46188.0</v>
      </c>
      <c r="C31" s="34" t="s">
        <v>24</v>
      </c>
      <c r="D31" s="32">
        <v>7.0</v>
      </c>
      <c r="E31" s="29" t="s">
        <v>12</v>
      </c>
      <c r="F31" s="32">
        <v>2.0</v>
      </c>
      <c r="G31" s="35" t="s">
        <v>31</v>
      </c>
      <c r="H31" s="32" t="s">
        <v>18</v>
      </c>
      <c r="I31" s="2" t="s">
        <v>53</v>
      </c>
      <c r="J31" s="2" t="s">
        <v>24</v>
      </c>
    </row>
    <row r="32" ht="16.5" customHeight="1">
      <c r="A32" s="29">
        <v>3.0</v>
      </c>
      <c r="B32" s="30">
        <v>46188.0</v>
      </c>
      <c r="C32" s="33" t="s">
        <v>36</v>
      </c>
      <c r="D32" s="32">
        <v>3.0</v>
      </c>
      <c r="E32" s="29" t="s">
        <v>12</v>
      </c>
      <c r="F32" s="32">
        <v>3.0</v>
      </c>
      <c r="G32" s="35" t="s">
        <v>34</v>
      </c>
      <c r="H32" s="32" t="s">
        <v>22</v>
      </c>
      <c r="I32" s="2" t="s">
        <v>67</v>
      </c>
      <c r="J32" s="2" t="s">
        <v>34</v>
      </c>
    </row>
    <row r="33" ht="16.5" customHeight="1">
      <c r="A33" s="29">
        <v>3.0</v>
      </c>
      <c r="B33" s="30">
        <v>46189.0</v>
      </c>
      <c r="C33" s="33" t="s">
        <v>17</v>
      </c>
      <c r="D33" s="32">
        <v>4.0</v>
      </c>
      <c r="E33" s="29" t="s">
        <v>12</v>
      </c>
      <c r="F33" s="32">
        <v>5.0</v>
      </c>
      <c r="G33" s="35" t="s">
        <v>49</v>
      </c>
      <c r="H33" s="32" t="s">
        <v>14</v>
      </c>
      <c r="I33" s="2" t="s">
        <v>68</v>
      </c>
      <c r="J33" s="2" t="s">
        <v>49</v>
      </c>
    </row>
    <row r="34" ht="16.5" customHeight="1">
      <c r="A34" s="29">
        <v>3.0</v>
      </c>
      <c r="B34" s="30">
        <v>46189.0</v>
      </c>
      <c r="C34" s="34" t="s">
        <v>40</v>
      </c>
      <c r="D34" s="32">
        <v>2.0</v>
      </c>
      <c r="E34" s="29" t="s">
        <v>12</v>
      </c>
      <c r="F34" s="32">
        <v>2.0</v>
      </c>
      <c r="G34" s="33" t="s">
        <v>47</v>
      </c>
      <c r="H34" s="32" t="s">
        <v>18</v>
      </c>
      <c r="I34" s="2" t="s">
        <v>69</v>
      </c>
      <c r="J34" s="2" t="s">
        <v>47</v>
      </c>
    </row>
    <row r="35" ht="16.5" customHeight="1">
      <c r="A35" s="29">
        <v>3.0</v>
      </c>
      <c r="B35" s="30">
        <v>46189.0</v>
      </c>
      <c r="C35" s="31" t="s">
        <v>16</v>
      </c>
      <c r="D35" s="32">
        <v>5.0</v>
      </c>
      <c r="E35" s="29" t="s">
        <v>12</v>
      </c>
      <c r="F35" s="32">
        <v>2.0</v>
      </c>
      <c r="G35" s="36" t="s">
        <v>27</v>
      </c>
      <c r="H35" s="32" t="s">
        <v>22</v>
      </c>
      <c r="I35" s="2" t="s">
        <v>70</v>
      </c>
      <c r="J35" s="2" t="s">
        <v>16</v>
      </c>
    </row>
    <row r="36" ht="16.5" customHeight="1">
      <c r="A36" s="29">
        <v>3.0</v>
      </c>
      <c r="B36" s="30">
        <v>46190.0</v>
      </c>
      <c r="C36" s="34" t="s">
        <v>43</v>
      </c>
      <c r="D36" s="32">
        <v>3.0</v>
      </c>
      <c r="E36" s="29" t="s">
        <v>12</v>
      </c>
      <c r="F36" s="32">
        <v>4.0</v>
      </c>
      <c r="G36" s="31" t="s">
        <v>46</v>
      </c>
      <c r="H36" s="32" t="s">
        <v>14</v>
      </c>
      <c r="I36" s="2" t="s">
        <v>71</v>
      </c>
      <c r="J36" s="2" t="s">
        <v>46</v>
      </c>
    </row>
    <row r="37" ht="16.5" customHeight="1">
      <c r="A37" s="29">
        <v>3.0</v>
      </c>
      <c r="B37" s="30">
        <v>46190.0</v>
      </c>
      <c r="C37" s="34" t="s">
        <v>20</v>
      </c>
      <c r="D37" s="32">
        <v>1.0</v>
      </c>
      <c r="E37" s="29" t="s">
        <v>12</v>
      </c>
      <c r="F37" s="32">
        <v>2.0</v>
      </c>
      <c r="G37" s="35" t="s">
        <v>50</v>
      </c>
      <c r="H37" s="32" t="s">
        <v>18</v>
      </c>
      <c r="I37" s="2" t="s">
        <v>72</v>
      </c>
      <c r="J37" s="2" t="s">
        <v>50</v>
      </c>
    </row>
    <row r="38" ht="16.5" customHeight="1">
      <c r="A38" s="29">
        <v>3.0</v>
      </c>
      <c r="B38" s="30">
        <v>46190.0</v>
      </c>
      <c r="C38" s="36" t="s">
        <v>13</v>
      </c>
      <c r="D38" s="32">
        <v>10.0</v>
      </c>
      <c r="E38" s="29" t="s">
        <v>12</v>
      </c>
      <c r="F38" s="32">
        <v>4.0</v>
      </c>
      <c r="G38" s="35" t="s">
        <v>44</v>
      </c>
      <c r="H38" s="32" t="s">
        <v>22</v>
      </c>
      <c r="I38" s="2" t="s">
        <v>73</v>
      </c>
      <c r="J38" s="2" t="s">
        <v>13</v>
      </c>
    </row>
    <row r="39" ht="16.5" customHeight="1">
      <c r="A39" s="29">
        <v>3.0</v>
      </c>
      <c r="B39" s="30">
        <v>46191.0</v>
      </c>
      <c r="C39" s="35" t="s">
        <v>30</v>
      </c>
      <c r="D39" s="32">
        <v>10.0</v>
      </c>
      <c r="E39" s="29" t="s">
        <v>12</v>
      </c>
      <c r="F39" s="32">
        <v>1.0</v>
      </c>
      <c r="G39" s="37" t="s">
        <v>28</v>
      </c>
      <c r="H39" s="32" t="s">
        <v>14</v>
      </c>
      <c r="I39" s="2" t="s">
        <v>74</v>
      </c>
      <c r="J39" s="2" t="s">
        <v>30</v>
      </c>
    </row>
    <row r="40" ht="16.5" customHeight="1">
      <c r="A40" s="29">
        <v>3.0</v>
      </c>
      <c r="B40" s="30">
        <v>46191.0</v>
      </c>
      <c r="C40" s="33" t="s">
        <v>11</v>
      </c>
      <c r="D40" s="32">
        <v>9.0</v>
      </c>
      <c r="E40" s="29" t="s">
        <v>12</v>
      </c>
      <c r="F40" s="32">
        <v>1.0</v>
      </c>
      <c r="G40" s="36" t="s">
        <v>25</v>
      </c>
      <c r="H40" s="32" t="s">
        <v>18</v>
      </c>
      <c r="I40" s="2" t="s">
        <v>75</v>
      </c>
      <c r="J40" s="2" t="s">
        <v>11</v>
      </c>
    </row>
    <row r="41" ht="16.5" customHeight="1">
      <c r="A41" s="29">
        <v>3.0</v>
      </c>
      <c r="B41" s="30">
        <v>46191.0</v>
      </c>
      <c r="C41" s="34" t="s">
        <v>41</v>
      </c>
      <c r="D41" s="32">
        <v>1.0</v>
      </c>
      <c r="E41" s="29" t="s">
        <v>12</v>
      </c>
      <c r="F41" s="32">
        <v>5.0</v>
      </c>
      <c r="G41" s="31" t="s">
        <v>33</v>
      </c>
      <c r="H41" s="32" t="s">
        <v>22</v>
      </c>
      <c r="I41" s="2" t="s">
        <v>76</v>
      </c>
      <c r="J41" s="2" t="s">
        <v>33</v>
      </c>
    </row>
    <row r="42" ht="18.0" customHeight="1">
      <c r="A42" s="19" t="s">
        <v>77</v>
      </c>
      <c r="B42" s="6"/>
      <c r="C42" s="6"/>
      <c r="D42" s="6"/>
      <c r="E42" s="6"/>
      <c r="F42" s="6"/>
      <c r="G42" s="6"/>
      <c r="H42" s="7"/>
    </row>
    <row r="43" ht="16.5" customHeight="1">
      <c r="A43" s="38">
        <v>4.0</v>
      </c>
      <c r="B43" s="39">
        <v>46192.0</v>
      </c>
      <c r="C43" s="40" t="s">
        <v>21</v>
      </c>
      <c r="D43" s="41">
        <v>8.0</v>
      </c>
      <c r="E43" s="38" t="s">
        <v>12</v>
      </c>
      <c r="F43" s="41">
        <v>5.0</v>
      </c>
      <c r="G43" s="42" t="s">
        <v>47</v>
      </c>
      <c r="H43" s="41" t="s">
        <v>14</v>
      </c>
      <c r="I43" s="2" t="s">
        <v>78</v>
      </c>
      <c r="J43" s="2" t="s">
        <v>21</v>
      </c>
    </row>
    <row r="44" ht="16.5" customHeight="1">
      <c r="A44" s="38">
        <v>4.0</v>
      </c>
      <c r="B44" s="39">
        <v>46192.0</v>
      </c>
      <c r="C44" s="43" t="s">
        <v>27</v>
      </c>
      <c r="D44" s="41">
        <v>4.0</v>
      </c>
      <c r="E44" s="38" t="s">
        <v>12</v>
      </c>
      <c r="F44" s="41">
        <v>8.0</v>
      </c>
      <c r="G44" s="44" t="s">
        <v>31</v>
      </c>
      <c r="H44" s="41" t="s">
        <v>18</v>
      </c>
      <c r="I44" s="2" t="s">
        <v>79</v>
      </c>
      <c r="J44" s="2" t="s">
        <v>31</v>
      </c>
    </row>
    <row r="45" ht="16.5" customHeight="1">
      <c r="A45" s="38">
        <v>4.0</v>
      </c>
      <c r="B45" s="39">
        <v>46192.0</v>
      </c>
      <c r="C45" s="45" t="s">
        <v>40</v>
      </c>
      <c r="D45" s="41">
        <v>5.0</v>
      </c>
      <c r="E45" s="38" t="s">
        <v>12</v>
      </c>
      <c r="F45" s="41">
        <v>2.0</v>
      </c>
      <c r="G45" s="42" t="s">
        <v>16</v>
      </c>
      <c r="H45" s="41" t="s">
        <v>22</v>
      </c>
      <c r="I45" s="2" t="s">
        <v>80</v>
      </c>
      <c r="J45" s="2" t="s">
        <v>40</v>
      </c>
    </row>
    <row r="46" ht="16.5" customHeight="1">
      <c r="A46" s="38">
        <v>4.0</v>
      </c>
      <c r="B46" s="39">
        <v>46195.0</v>
      </c>
      <c r="C46" s="43" t="s">
        <v>44</v>
      </c>
      <c r="D46" s="41">
        <v>1.0</v>
      </c>
      <c r="E46" s="38" t="s">
        <v>12</v>
      </c>
      <c r="F46" s="41">
        <v>4.0</v>
      </c>
      <c r="G46" s="44" t="s">
        <v>49</v>
      </c>
      <c r="H46" s="41" t="s">
        <v>14</v>
      </c>
      <c r="I46" s="2" t="s">
        <v>81</v>
      </c>
      <c r="J46" s="2" t="s">
        <v>49</v>
      </c>
    </row>
    <row r="47" ht="16.5" customHeight="1">
      <c r="A47" s="38">
        <v>4.0</v>
      </c>
      <c r="B47" s="39">
        <v>46195.0</v>
      </c>
      <c r="C47" s="46" t="s">
        <v>13</v>
      </c>
      <c r="D47" s="41">
        <v>6.0</v>
      </c>
      <c r="E47" s="38" t="s">
        <v>12</v>
      </c>
      <c r="F47" s="41">
        <v>3.0</v>
      </c>
      <c r="G47" s="44" t="s">
        <v>50</v>
      </c>
      <c r="H47" s="41" t="s">
        <v>18</v>
      </c>
      <c r="I47" s="2" t="s">
        <v>82</v>
      </c>
      <c r="J47" s="2" t="s">
        <v>13</v>
      </c>
    </row>
    <row r="48" ht="16.5" customHeight="1">
      <c r="A48" s="38">
        <v>4.0</v>
      </c>
      <c r="B48" s="39">
        <v>46195.0</v>
      </c>
      <c r="C48" s="43" t="s">
        <v>20</v>
      </c>
      <c r="D48" s="41">
        <v>5.0</v>
      </c>
      <c r="E48" s="38" t="s">
        <v>12</v>
      </c>
      <c r="F48" s="41">
        <v>7.0</v>
      </c>
      <c r="G48" s="42" t="s">
        <v>36</v>
      </c>
      <c r="H48" s="41" t="s">
        <v>22</v>
      </c>
      <c r="I48" s="2" t="s">
        <v>83</v>
      </c>
      <c r="J48" s="2" t="s">
        <v>36</v>
      </c>
    </row>
    <row r="49" ht="16.5" customHeight="1">
      <c r="A49" s="38">
        <v>4.0</v>
      </c>
      <c r="B49" s="39">
        <v>46196.0</v>
      </c>
      <c r="C49" s="43" t="s">
        <v>37</v>
      </c>
      <c r="D49" s="41"/>
      <c r="E49" s="38" t="s">
        <v>12</v>
      </c>
      <c r="F49" s="41"/>
      <c r="G49" s="42" t="s">
        <v>33</v>
      </c>
      <c r="H49" s="41" t="s">
        <v>14</v>
      </c>
    </row>
    <row r="50" ht="16.5" customHeight="1">
      <c r="A50" s="38">
        <v>4.0</v>
      </c>
      <c r="B50" s="39">
        <v>46196.0</v>
      </c>
      <c r="C50" s="40" t="s">
        <v>24</v>
      </c>
      <c r="D50" s="41"/>
      <c r="E50" s="38" t="s">
        <v>12</v>
      </c>
      <c r="F50" s="41"/>
      <c r="G50" s="43" t="s">
        <v>28</v>
      </c>
      <c r="H50" s="41" t="s">
        <v>18</v>
      </c>
    </row>
    <row r="51" ht="16.5" customHeight="1">
      <c r="A51" s="38">
        <v>4.0</v>
      </c>
      <c r="B51" s="39">
        <v>46196.0</v>
      </c>
      <c r="C51" s="44" t="s">
        <v>25</v>
      </c>
      <c r="D51" s="41"/>
      <c r="E51" s="38" t="s">
        <v>12</v>
      </c>
      <c r="F51" s="41"/>
      <c r="G51" s="42" t="s">
        <v>46</v>
      </c>
      <c r="H51" s="41" t="s">
        <v>22</v>
      </c>
    </row>
    <row r="52" ht="16.5" customHeight="1">
      <c r="A52" s="38">
        <v>4.0</v>
      </c>
      <c r="B52" s="39">
        <v>46197.0</v>
      </c>
      <c r="C52" s="46" t="s">
        <v>41</v>
      </c>
      <c r="D52" s="41"/>
      <c r="E52" s="38" t="s">
        <v>12</v>
      </c>
      <c r="F52" s="41"/>
      <c r="G52" s="45" t="s">
        <v>34</v>
      </c>
      <c r="H52" s="41" t="s">
        <v>14</v>
      </c>
    </row>
    <row r="53" ht="16.5" customHeight="1">
      <c r="A53" s="38">
        <v>4.0</v>
      </c>
      <c r="B53" s="39">
        <v>46197.0</v>
      </c>
      <c r="C53" s="40" t="s">
        <v>30</v>
      </c>
      <c r="D53" s="41"/>
      <c r="E53" s="38" t="s">
        <v>12</v>
      </c>
      <c r="F53" s="41"/>
      <c r="G53" s="43" t="s">
        <v>17</v>
      </c>
      <c r="H53" s="41" t="s">
        <v>18</v>
      </c>
    </row>
    <row r="54" ht="16.5" customHeight="1">
      <c r="A54" s="38">
        <v>4.0</v>
      </c>
      <c r="B54" s="39">
        <v>46197.0</v>
      </c>
      <c r="C54" s="46" t="s">
        <v>11</v>
      </c>
      <c r="D54" s="41"/>
      <c r="E54" s="38" t="s">
        <v>12</v>
      </c>
      <c r="F54" s="41"/>
      <c r="G54" s="42" t="s">
        <v>43</v>
      </c>
      <c r="H54" s="41" t="s">
        <v>22</v>
      </c>
    </row>
    <row r="55" ht="18.0" customHeight="1">
      <c r="A55" s="5" t="s">
        <v>84</v>
      </c>
      <c r="B55" s="6"/>
      <c r="C55" s="6"/>
      <c r="D55" s="6"/>
      <c r="E55" s="6"/>
      <c r="F55" s="6"/>
      <c r="G55" s="6"/>
      <c r="H55" s="7"/>
    </row>
    <row r="56" ht="16.5" customHeight="1">
      <c r="A56" s="47">
        <v>5.0</v>
      </c>
      <c r="B56" s="48">
        <v>46198.0</v>
      </c>
      <c r="C56" s="49" t="s">
        <v>20</v>
      </c>
      <c r="D56" s="50"/>
      <c r="E56" s="47" t="s">
        <v>12</v>
      </c>
      <c r="F56" s="50"/>
      <c r="G56" s="51" t="s">
        <v>27</v>
      </c>
      <c r="H56" s="50" t="s">
        <v>14</v>
      </c>
    </row>
    <row r="57" ht="16.5" customHeight="1">
      <c r="A57" s="47">
        <v>5.0</v>
      </c>
      <c r="B57" s="48">
        <v>46198.0</v>
      </c>
      <c r="C57" s="52" t="s">
        <v>36</v>
      </c>
      <c r="D57" s="50"/>
      <c r="E57" s="47" t="s">
        <v>12</v>
      </c>
      <c r="F57" s="50"/>
      <c r="G57" s="53" t="s">
        <v>49</v>
      </c>
      <c r="H57" s="50" t="s">
        <v>18</v>
      </c>
    </row>
    <row r="58" ht="16.5" customHeight="1">
      <c r="A58" s="47">
        <v>5.0</v>
      </c>
      <c r="B58" s="48">
        <v>46198.0</v>
      </c>
      <c r="C58" s="49" t="s">
        <v>44</v>
      </c>
      <c r="D58" s="50"/>
      <c r="E58" s="47" t="s">
        <v>12</v>
      </c>
      <c r="F58" s="50"/>
      <c r="G58" s="51" t="s">
        <v>47</v>
      </c>
      <c r="H58" s="50" t="s">
        <v>22</v>
      </c>
    </row>
    <row r="59" ht="16.5" customHeight="1">
      <c r="A59" s="47">
        <v>5.0</v>
      </c>
      <c r="B59" s="48">
        <v>46199.0</v>
      </c>
      <c r="C59" s="54" t="s">
        <v>16</v>
      </c>
      <c r="D59" s="50"/>
      <c r="E59" s="47" t="s">
        <v>12</v>
      </c>
      <c r="F59" s="50"/>
      <c r="G59" s="53" t="s">
        <v>33</v>
      </c>
      <c r="H59" s="50" t="s">
        <v>14</v>
      </c>
    </row>
    <row r="60" ht="16.5" customHeight="1">
      <c r="A60" s="47">
        <v>5.0</v>
      </c>
      <c r="B60" s="48">
        <v>46199.0</v>
      </c>
      <c r="C60" s="49" t="s">
        <v>40</v>
      </c>
      <c r="D60" s="50"/>
      <c r="E60" s="47" t="s">
        <v>12</v>
      </c>
      <c r="F60" s="50"/>
      <c r="G60" s="53" t="s">
        <v>37</v>
      </c>
      <c r="H60" s="50" t="s">
        <v>18</v>
      </c>
    </row>
    <row r="61" ht="16.5" customHeight="1">
      <c r="A61" s="47">
        <v>5.0</v>
      </c>
      <c r="B61" s="48">
        <v>46199.0</v>
      </c>
      <c r="C61" s="52" t="s">
        <v>25</v>
      </c>
      <c r="D61" s="50"/>
      <c r="E61" s="47" t="s">
        <v>12</v>
      </c>
      <c r="F61" s="50"/>
      <c r="G61" s="49" t="s">
        <v>50</v>
      </c>
      <c r="H61" s="50" t="s">
        <v>22</v>
      </c>
    </row>
    <row r="62" ht="16.5" customHeight="1">
      <c r="A62" s="47">
        <v>5.0</v>
      </c>
      <c r="B62" s="48">
        <v>46202.0</v>
      </c>
      <c r="C62" s="54" t="s">
        <v>11</v>
      </c>
      <c r="D62" s="50"/>
      <c r="E62" s="47" t="s">
        <v>12</v>
      </c>
      <c r="F62" s="50"/>
      <c r="G62" s="53" t="s">
        <v>34</v>
      </c>
      <c r="H62" s="50" t="s">
        <v>14</v>
      </c>
    </row>
    <row r="63" ht="16.5" customHeight="1">
      <c r="A63" s="47">
        <v>5.0</v>
      </c>
      <c r="B63" s="48">
        <v>46202.0</v>
      </c>
      <c r="C63" s="52" t="s">
        <v>21</v>
      </c>
      <c r="D63" s="50"/>
      <c r="E63" s="47" t="s">
        <v>12</v>
      </c>
      <c r="F63" s="50"/>
      <c r="G63" s="54" t="s">
        <v>46</v>
      </c>
      <c r="H63" s="50" t="s">
        <v>18</v>
      </c>
    </row>
    <row r="64" ht="16.5" customHeight="1">
      <c r="A64" s="47">
        <v>5.0</v>
      </c>
      <c r="B64" s="48">
        <v>46202.0</v>
      </c>
      <c r="C64" s="55" t="s">
        <v>30</v>
      </c>
      <c r="D64" s="50"/>
      <c r="E64" s="47" t="s">
        <v>12</v>
      </c>
      <c r="F64" s="50"/>
      <c r="G64" s="54" t="s">
        <v>24</v>
      </c>
      <c r="H64" s="50" t="s">
        <v>22</v>
      </c>
    </row>
    <row r="65" ht="16.5" customHeight="1">
      <c r="A65" s="47">
        <v>5.0</v>
      </c>
      <c r="B65" s="48">
        <v>46203.0</v>
      </c>
      <c r="C65" s="49" t="s">
        <v>13</v>
      </c>
      <c r="D65" s="50"/>
      <c r="E65" s="47" t="s">
        <v>12</v>
      </c>
      <c r="F65" s="50"/>
      <c r="G65" s="51" t="s">
        <v>28</v>
      </c>
      <c r="H65" s="50" t="s">
        <v>14</v>
      </c>
    </row>
    <row r="66" ht="16.5" customHeight="1">
      <c r="A66" s="47">
        <v>5.0</v>
      </c>
      <c r="B66" s="48">
        <v>46203.0</v>
      </c>
      <c r="C66" s="49" t="s">
        <v>17</v>
      </c>
      <c r="D66" s="50"/>
      <c r="E66" s="47" t="s">
        <v>12</v>
      </c>
      <c r="F66" s="50"/>
      <c r="G66" s="54" t="s">
        <v>31</v>
      </c>
      <c r="H66" s="50" t="s">
        <v>18</v>
      </c>
    </row>
    <row r="67" ht="16.5" customHeight="1">
      <c r="A67" s="47">
        <v>5.0</v>
      </c>
      <c r="B67" s="48">
        <v>46203.0</v>
      </c>
      <c r="C67" s="54" t="s">
        <v>43</v>
      </c>
      <c r="D67" s="50"/>
      <c r="E67" s="47" t="s">
        <v>12</v>
      </c>
      <c r="F67" s="50"/>
      <c r="G67" s="51" t="s">
        <v>41</v>
      </c>
      <c r="H67" s="50" t="s">
        <v>22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3:H3"/>
    <mergeCell ref="A16:H16"/>
    <mergeCell ref="A29:H29"/>
    <mergeCell ref="A42:H42"/>
    <mergeCell ref="A55:H5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8A3C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5.0"/>
    <col customWidth="1" min="4" max="7" width="4.0"/>
    <col customWidth="1" min="8" max="9" width="5.0"/>
    <col customWidth="1" min="10" max="10" width="6.0"/>
    <col customWidth="1" min="11" max="11" width="5.0"/>
    <col customWidth="1" min="12" max="26" width="8.71"/>
  </cols>
  <sheetData>
    <row r="1" ht="27.75" customHeight="1">
      <c r="A1" s="56" t="s">
        <v>85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ht="18.0" customHeight="1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 t="s">
        <v>93</v>
      </c>
      <c r="I2" s="3" t="s">
        <v>94</v>
      </c>
      <c r="J2" s="3" t="s">
        <v>95</v>
      </c>
      <c r="K2" s="4" t="s">
        <v>96</v>
      </c>
    </row>
    <row r="3" ht="16.5" customHeight="1">
      <c r="A3" s="57">
        <v>1.0</v>
      </c>
      <c r="B3" s="58" t="s">
        <v>17</v>
      </c>
      <c r="C3" s="59">
        <v>3.0</v>
      </c>
      <c r="D3" s="59">
        <f>SUMPRODUCT((Risultati!$C$2:$C$200=B3)*(Risultati!$D$2:$D$200&lt;&gt;""))+SUMPRODUCT((Risultati!$G$2:$G$200=B3)*(Risultati!$D$2:$D$200&lt;&gt;""))</f>
        <v>3</v>
      </c>
      <c r="E3" s="59">
        <f>SUMPRODUCT((Risultati!$C$2:$C$200=B3)*(IFERROR(VALUE(Risultati!$D$2:$D$200),0)&gt;IFERROR(VALUE(Risultati!$F$2:$F$200),0)))+SUMPRODUCT((Risultati!$G$2:$G$200=B3)*(IFERROR(VALUE(Risultati!$F$2:$F$200),0)&gt;IFERROR(VALUE(Risultati!$D$2:$D$200),0)))</f>
        <v>1</v>
      </c>
      <c r="F3" s="59">
        <f>SUMPRODUCT((Risultati!$C$2:$C$200=B3)*(Risultati!$D$2:$D$200&lt;&gt;"")*((IFERROR(VALUE(Risultati!$D$2:$D$200),0))=(IFERROR(VALUE(Risultati!$F$2:$F$200),0))))+SUMPRODUCT((Risultati!$G$2:$G$200=B3)*(Risultati!$D$2:$D$200&lt;&gt;"")*((IFERROR(VALUE(Risultati!$D$2:$D$200),0))=(IFERROR(VALUE(Risultati!$F$2:$F$200),0))))</f>
        <v>1</v>
      </c>
      <c r="G3" s="59">
        <f>SUMPRODUCT((Risultati!$C$2:$C$200=B3)*(Risultati!$D$2:$D$200&lt;&gt;"")*((IFERROR(VALUE(Risultati!$D$2:$D$200),0))&lt;(IFERROR(VALUE(Risultati!$F$2:$F$200),0))))+SUMPRODUCT((Risultati!$G$2:$G$200=B3)*(Risultati!$D$2:$D$200&lt;&gt;"")*((IFERROR(VALUE(Risultati!$F$2:$F$200),0))&lt;(IFERROR(VALUE(Risultati!$D$2:$D$200),0))))</f>
        <v>1</v>
      </c>
      <c r="H3" s="59">
        <f>SUMPRODUCT((Risultati!$C$2:$C$200=B3)*(Risultati!$D$2:$D$200&lt;&gt;"")*IFERROR(VALUE(Risultati!$D$2:$D$200),0))+SUMPRODUCT((Risultati!$G$2:$G$200=B3)*(Risultati!$D$2:$D$200&lt;&gt;"")*IFERROR(VALUE(Risultati!$F$2:$F$200),0))</f>
        <v>9</v>
      </c>
      <c r="I3" s="59">
        <f>SUMPRODUCT((Risultati!$C$2:$C$200=B3)*(Risultati!$D$2:$D$200&lt;&gt;"")*IFERROR(VALUE(Risultati!$F$2:$F$200),0))+SUMPRODUCT((Risultati!$G$2:$G$200=B3)*(Risultati!$D$2:$D$200&lt;&gt;"")*IFERROR(VALUE(Risultati!$D$2:$D$200),0))</f>
        <v>9</v>
      </c>
      <c r="J3" s="59">
        <f t="shared" ref="J3:J26" si="1">H3-I3</f>
        <v>0</v>
      </c>
      <c r="K3" s="59">
        <f t="shared" ref="K3:K26" si="2">E3*3+F3</f>
        <v>4</v>
      </c>
    </row>
    <row r="4" ht="16.5" customHeight="1">
      <c r="A4" s="60">
        <v>2.0</v>
      </c>
      <c r="B4" s="61" t="s">
        <v>16</v>
      </c>
      <c r="C4" s="62">
        <v>2.0</v>
      </c>
      <c r="D4" s="59">
        <f>SUMPRODUCT((Risultati!$C$2:$C$200=B4)*(Risultati!$D$2:$D$200&lt;&gt;""))+SUMPRODUCT((Risultati!$G$2:$G$200=B4)*(Risultati!$D$2:$D$200&lt;&gt;""))</f>
        <v>4</v>
      </c>
      <c r="E4" s="59">
        <f>SUMPRODUCT((Risultati!$C$2:$C$200=B4)*(IFERROR(VALUE(Risultati!$D$2:$D$200),0)&gt;IFERROR(VALUE(Risultati!$F$2:$F$200),0)))+SUMPRODUCT((Risultati!$G$2:$G$200=B4)*(IFERROR(VALUE(Risultati!$F$2:$F$200),0)&gt;IFERROR(VALUE(Risultati!$D$2:$D$200),0)))</f>
        <v>2</v>
      </c>
      <c r="F4" s="59">
        <f>SUMPRODUCT((Risultati!$C$2:$C$200=B4)*(Risultati!$D$2:$D$200&lt;&gt;"")*((IFERROR(VALUE(Risultati!$D$2:$D$200),0))=(IFERROR(VALUE(Risultati!$F$2:$F$200),0))))+SUMPRODUCT((Risultati!$G$2:$G$200=B4)*(Risultati!$D$2:$D$200&lt;&gt;"")*((IFERROR(VALUE(Risultati!$D$2:$D$200),0))=(IFERROR(VALUE(Risultati!$F$2:$F$200),0))))</f>
        <v>1</v>
      </c>
      <c r="G4" s="59">
        <f>SUMPRODUCT((Risultati!$C$2:$C$200=B4)*(Risultati!$D$2:$D$200&lt;&gt;"")*((IFERROR(VALUE(Risultati!$D$2:$D$200),0))&lt;(IFERROR(VALUE(Risultati!$F$2:$F$200),0))))+SUMPRODUCT((Risultati!$G$2:$G$200=B4)*(Risultati!$D$2:$D$200&lt;&gt;"")*((IFERROR(VALUE(Risultati!$F$2:$F$200),0))&lt;(IFERROR(VALUE(Risultati!$D$2:$D$200),0))))</f>
        <v>1</v>
      </c>
      <c r="H4" s="59">
        <f>SUMPRODUCT((Risultati!$C$2:$C$200=B4)*(Risultati!$D$2:$D$200&lt;&gt;"")*IFERROR(VALUE(Risultati!$D$2:$D$200),0))+SUMPRODUCT((Risultati!$G$2:$G$200=B4)*(Risultati!$D$2:$D$200&lt;&gt;"")*IFERROR(VALUE(Risultati!$F$2:$F$200),0))</f>
        <v>15</v>
      </c>
      <c r="I4" s="59">
        <f>SUMPRODUCT((Risultati!$C$2:$C$200=B4)*(Risultati!$D$2:$D$200&lt;&gt;"")*IFERROR(VALUE(Risultati!$F$2:$F$200),0))+SUMPRODUCT((Risultati!$G$2:$G$200=B4)*(Risultati!$D$2:$D$200&lt;&gt;"")*IFERROR(VALUE(Risultati!$D$2:$D$200),0))</f>
        <v>11</v>
      </c>
      <c r="J4" s="59">
        <f t="shared" si="1"/>
        <v>4</v>
      </c>
      <c r="K4" s="59">
        <f t="shared" si="2"/>
        <v>7</v>
      </c>
    </row>
    <row r="5" ht="16.5" customHeight="1">
      <c r="A5" s="57">
        <v>3.0</v>
      </c>
      <c r="B5" s="58" t="s">
        <v>24</v>
      </c>
      <c r="C5" s="59">
        <v>2.0</v>
      </c>
      <c r="D5" s="59">
        <f>SUMPRODUCT((Risultati!$C$2:$C$200=B5)*(Risultati!$D$2:$D$200&lt;&gt;""))+SUMPRODUCT((Risultati!$G$2:$G$200=B5)*(Risultati!$D$2:$D$200&lt;&gt;""))</f>
        <v>3</v>
      </c>
      <c r="E5" s="59">
        <f>SUMPRODUCT((Risultati!$C$2:$C$200=B5)*(IFERROR(VALUE(Risultati!$D$2:$D$200),0)&gt;IFERROR(VALUE(Risultati!$F$2:$F$200),0)))+SUMPRODUCT((Risultati!$G$2:$G$200=B5)*(IFERROR(VALUE(Risultati!$F$2:$F$200),0)&gt;IFERROR(VALUE(Risultati!$D$2:$D$200),0)))</f>
        <v>1</v>
      </c>
      <c r="F5" s="59">
        <f>SUMPRODUCT((Risultati!$C$2:$C$200=B5)*(Risultati!$D$2:$D$200&lt;&gt;"")*((IFERROR(VALUE(Risultati!$D$2:$D$200),0))=(IFERROR(VALUE(Risultati!$F$2:$F$200),0))))+SUMPRODUCT((Risultati!$G$2:$G$200=B5)*(Risultati!$D$2:$D$200&lt;&gt;"")*((IFERROR(VALUE(Risultati!$D$2:$D$200),0))=(IFERROR(VALUE(Risultati!$F$2:$F$200),0))))</f>
        <v>2</v>
      </c>
      <c r="G5" s="59">
        <f>SUMPRODUCT((Risultati!$C$2:$C$200=B5)*(Risultati!$D$2:$D$200&lt;&gt;"")*((IFERROR(VALUE(Risultati!$D$2:$D$200),0))&lt;(IFERROR(VALUE(Risultati!$F$2:$F$200),0))))+SUMPRODUCT((Risultati!$G$2:$G$200=B5)*(Risultati!$D$2:$D$200&lt;&gt;"")*((IFERROR(VALUE(Risultati!$F$2:$F$200),0))&lt;(IFERROR(VALUE(Risultati!$D$2:$D$200),0))))</f>
        <v>0</v>
      </c>
      <c r="H5" s="59">
        <f>SUMPRODUCT((Risultati!$C$2:$C$200=B5)*(Risultati!$D$2:$D$200&lt;&gt;"")*IFERROR(VALUE(Risultati!$D$2:$D$200),0))+SUMPRODUCT((Risultati!$G$2:$G$200=B5)*(Risultati!$D$2:$D$200&lt;&gt;"")*IFERROR(VALUE(Risultati!$F$2:$F$200),0))</f>
        <v>15</v>
      </c>
      <c r="I5" s="59">
        <f>SUMPRODUCT((Risultati!$C$2:$C$200=B5)*(Risultati!$D$2:$D$200&lt;&gt;"")*IFERROR(VALUE(Risultati!$F$2:$F$200),0))+SUMPRODUCT((Risultati!$G$2:$G$200=B5)*(Risultati!$D$2:$D$200&lt;&gt;"")*IFERROR(VALUE(Risultati!$D$2:$D$200),0))</f>
        <v>10</v>
      </c>
      <c r="J5" s="59">
        <f t="shared" si="1"/>
        <v>5</v>
      </c>
      <c r="K5" s="59">
        <f t="shared" si="2"/>
        <v>5</v>
      </c>
    </row>
    <row r="6" ht="16.5" customHeight="1">
      <c r="A6" s="60">
        <v>4.0</v>
      </c>
      <c r="B6" s="61" t="s">
        <v>25</v>
      </c>
      <c r="C6" s="62">
        <v>4.0</v>
      </c>
      <c r="D6" s="59">
        <f>SUMPRODUCT((Risultati!$C$2:$C$200=B6)*(Risultati!$D$2:$D$200&lt;&gt;""))+SUMPRODUCT((Risultati!$G$2:$G$200=B6)*(Risultati!$D$2:$D$200&lt;&gt;""))</f>
        <v>3</v>
      </c>
      <c r="E6" s="59">
        <f>SUMPRODUCT((Risultati!$C$2:$C$200=B6)*(IFERROR(VALUE(Risultati!$D$2:$D$200),0)&gt;IFERROR(VALUE(Risultati!$F$2:$F$200),0)))+SUMPRODUCT((Risultati!$G$2:$G$200=B6)*(IFERROR(VALUE(Risultati!$F$2:$F$200),0)&gt;IFERROR(VALUE(Risultati!$D$2:$D$200),0)))</f>
        <v>1</v>
      </c>
      <c r="F6" s="59">
        <f>SUMPRODUCT((Risultati!$C$2:$C$200=B6)*(Risultati!$D$2:$D$200&lt;&gt;"")*((IFERROR(VALUE(Risultati!$D$2:$D$200),0))=(IFERROR(VALUE(Risultati!$F$2:$F$200),0))))+SUMPRODUCT((Risultati!$G$2:$G$200=B6)*(Risultati!$D$2:$D$200&lt;&gt;"")*((IFERROR(VALUE(Risultati!$D$2:$D$200),0))=(IFERROR(VALUE(Risultati!$F$2:$F$200),0))))</f>
        <v>1</v>
      </c>
      <c r="G6" s="59">
        <f>SUMPRODUCT((Risultati!$C$2:$C$200=B6)*(Risultati!$D$2:$D$200&lt;&gt;"")*((IFERROR(VALUE(Risultati!$D$2:$D$200),0))&lt;(IFERROR(VALUE(Risultati!$F$2:$F$200),0))))+SUMPRODUCT((Risultati!$G$2:$G$200=B6)*(Risultati!$D$2:$D$200&lt;&gt;"")*((IFERROR(VALUE(Risultati!$F$2:$F$200),0))&lt;(IFERROR(VALUE(Risultati!$D$2:$D$200),0))))</f>
        <v>1</v>
      </c>
      <c r="H6" s="59">
        <f>SUMPRODUCT((Risultati!$C$2:$C$200=B6)*(Risultati!$D$2:$D$200&lt;&gt;"")*IFERROR(VALUE(Risultati!$D$2:$D$200),0))+SUMPRODUCT((Risultati!$G$2:$G$200=B6)*(Risultati!$D$2:$D$200&lt;&gt;"")*IFERROR(VALUE(Risultati!$F$2:$F$200),0))</f>
        <v>13</v>
      </c>
      <c r="I6" s="59">
        <f>SUMPRODUCT((Risultati!$C$2:$C$200=B6)*(Risultati!$D$2:$D$200&lt;&gt;"")*IFERROR(VALUE(Risultati!$F$2:$F$200),0))+SUMPRODUCT((Risultati!$G$2:$G$200=B6)*(Risultati!$D$2:$D$200&lt;&gt;"")*IFERROR(VALUE(Risultati!$D$2:$D$200),0))</f>
        <v>16</v>
      </c>
      <c r="J6" s="59">
        <f t="shared" si="1"/>
        <v>-3</v>
      </c>
      <c r="K6" s="59">
        <f t="shared" si="2"/>
        <v>4</v>
      </c>
    </row>
    <row r="7" ht="16.5" customHeight="1">
      <c r="A7" s="57">
        <v>5.0</v>
      </c>
      <c r="B7" s="58" t="s">
        <v>36</v>
      </c>
      <c r="C7" s="63">
        <v>2.0</v>
      </c>
      <c r="D7" s="59">
        <f>SUMPRODUCT((Risultati!$C$2:$C$200=B7)*(Risultati!$D$2:$D$200&lt;&gt;""))+SUMPRODUCT((Risultati!$G$2:$G$200=B7)*(Risultati!$D$2:$D$200&lt;&gt;""))</f>
        <v>4</v>
      </c>
      <c r="E7" s="59">
        <f>SUMPRODUCT((Risultati!$C$2:$C$200=B7)*(IFERROR(VALUE(Risultati!$D$2:$D$200),0)&gt;IFERROR(VALUE(Risultati!$F$2:$F$200),0)))+SUMPRODUCT((Risultati!$G$2:$G$200=B7)*(IFERROR(VALUE(Risultati!$F$2:$F$200),0)&gt;IFERROR(VALUE(Risultati!$D$2:$D$200),0)))</f>
        <v>2</v>
      </c>
      <c r="F7" s="59">
        <f>SUMPRODUCT((Risultati!$C$2:$C$200=B7)*(Risultati!$D$2:$D$200&lt;&gt;"")*((IFERROR(VALUE(Risultati!$D$2:$D$200),0))=(IFERROR(VALUE(Risultati!$F$2:$F$200),0))))+SUMPRODUCT((Risultati!$G$2:$G$200=B7)*(Risultati!$D$2:$D$200&lt;&gt;"")*((IFERROR(VALUE(Risultati!$D$2:$D$200),0))=(IFERROR(VALUE(Risultati!$F$2:$F$200),0))))</f>
        <v>1</v>
      </c>
      <c r="G7" s="59">
        <f>SUMPRODUCT((Risultati!$C$2:$C$200=B7)*(Risultati!$D$2:$D$200&lt;&gt;"")*((IFERROR(VALUE(Risultati!$D$2:$D$200),0))&lt;(IFERROR(VALUE(Risultati!$F$2:$F$200),0))))+SUMPRODUCT((Risultati!$G$2:$G$200=B7)*(Risultati!$D$2:$D$200&lt;&gt;"")*((IFERROR(VALUE(Risultati!$F$2:$F$200),0))&lt;(IFERROR(VALUE(Risultati!$D$2:$D$200),0))))</f>
        <v>1</v>
      </c>
      <c r="H7" s="59">
        <f>SUMPRODUCT((Risultati!$C$2:$C$200=B7)*(Risultati!$D$2:$D$200&lt;&gt;"")*IFERROR(VALUE(Risultati!$D$2:$D$200),0))+SUMPRODUCT((Risultati!$G$2:$G$200=B7)*(Risultati!$D$2:$D$200&lt;&gt;"")*IFERROR(VALUE(Risultati!$F$2:$F$200),0))</f>
        <v>16</v>
      </c>
      <c r="I7" s="59">
        <f>SUMPRODUCT((Risultati!$C$2:$C$200=B7)*(Risultati!$D$2:$D$200&lt;&gt;"")*IFERROR(VALUE(Risultati!$F$2:$F$200),0))+SUMPRODUCT((Risultati!$G$2:$G$200=B7)*(Risultati!$D$2:$D$200&lt;&gt;"")*IFERROR(VALUE(Risultati!$D$2:$D$200),0))</f>
        <v>13</v>
      </c>
      <c r="J7" s="59">
        <f t="shared" si="1"/>
        <v>3</v>
      </c>
      <c r="K7" s="59">
        <f t="shared" si="2"/>
        <v>7</v>
      </c>
    </row>
    <row r="8" ht="16.5" customHeight="1">
      <c r="A8" s="60">
        <v>6.0</v>
      </c>
      <c r="B8" s="61" t="s">
        <v>40</v>
      </c>
      <c r="C8" s="64">
        <v>1.0</v>
      </c>
      <c r="D8" s="59">
        <f>SUMPRODUCT((Risultati!$C$2:$C$200=B8)*(Risultati!$D$2:$D$200&lt;&gt;""))+SUMPRODUCT((Risultati!$G$2:$G$200=B8)*(Risultati!$D$2:$D$200&lt;&gt;""))</f>
        <v>4</v>
      </c>
      <c r="E8" s="59">
        <f>SUMPRODUCT((Risultati!$C$2:$C$200=B8)*(IFERROR(VALUE(Risultati!$D$2:$D$200),0)&gt;IFERROR(VALUE(Risultati!$F$2:$F$200),0)))+SUMPRODUCT((Risultati!$G$2:$G$200=B8)*(IFERROR(VALUE(Risultati!$F$2:$F$200),0)&gt;IFERROR(VALUE(Risultati!$D$2:$D$200),0)))</f>
        <v>2</v>
      </c>
      <c r="F8" s="59">
        <f>SUMPRODUCT((Risultati!$C$2:$C$200=B8)*(Risultati!$D$2:$D$200&lt;&gt;"")*((IFERROR(VALUE(Risultati!$D$2:$D$200),0))=(IFERROR(VALUE(Risultati!$F$2:$F$200),0))))+SUMPRODUCT((Risultati!$G$2:$G$200=B8)*(Risultati!$D$2:$D$200&lt;&gt;"")*((IFERROR(VALUE(Risultati!$D$2:$D$200),0))=(IFERROR(VALUE(Risultati!$F$2:$F$200),0))))</f>
        <v>2</v>
      </c>
      <c r="G8" s="59">
        <f>SUMPRODUCT((Risultati!$C$2:$C$200=B8)*(Risultati!$D$2:$D$200&lt;&gt;"")*((IFERROR(VALUE(Risultati!$D$2:$D$200),0))&lt;(IFERROR(VALUE(Risultati!$F$2:$F$200),0))))+SUMPRODUCT((Risultati!$G$2:$G$200=B8)*(Risultati!$D$2:$D$200&lt;&gt;"")*((IFERROR(VALUE(Risultati!$F$2:$F$200),0))&lt;(IFERROR(VALUE(Risultati!$D$2:$D$200),0))))</f>
        <v>0</v>
      </c>
      <c r="H8" s="59">
        <f>SUMPRODUCT((Risultati!$C$2:$C$200=B8)*(Risultati!$D$2:$D$200&lt;&gt;"")*IFERROR(VALUE(Risultati!$D$2:$D$200),0))+SUMPRODUCT((Risultati!$G$2:$G$200=B8)*(Risultati!$D$2:$D$200&lt;&gt;"")*IFERROR(VALUE(Risultati!$F$2:$F$200),0))</f>
        <v>22</v>
      </c>
      <c r="I8" s="59">
        <f>SUMPRODUCT((Risultati!$C$2:$C$200=B8)*(Risultati!$D$2:$D$200&lt;&gt;"")*IFERROR(VALUE(Risultati!$F$2:$F$200),0))+SUMPRODUCT((Risultati!$G$2:$G$200=B8)*(Risultati!$D$2:$D$200&lt;&gt;"")*IFERROR(VALUE(Risultati!$D$2:$D$200),0))</f>
        <v>10</v>
      </c>
      <c r="J8" s="59">
        <f t="shared" si="1"/>
        <v>12</v>
      </c>
      <c r="K8" s="59">
        <f t="shared" si="2"/>
        <v>8</v>
      </c>
    </row>
    <row r="9" ht="16.5" customHeight="1">
      <c r="A9" s="57">
        <v>7.0</v>
      </c>
      <c r="B9" s="58" t="s">
        <v>41</v>
      </c>
      <c r="C9" s="63">
        <v>3.0</v>
      </c>
      <c r="D9" s="59">
        <f>SUMPRODUCT((Risultati!$C$2:$C$200=B9)*(Risultati!$D$2:$D$200&lt;&gt;""))+SUMPRODUCT((Risultati!$G$2:$G$200=B9)*(Risultati!$D$2:$D$200&lt;&gt;""))</f>
        <v>3</v>
      </c>
      <c r="E9" s="59">
        <f>SUMPRODUCT((Risultati!$C$2:$C$200=B9)*(IFERROR(VALUE(Risultati!$D$2:$D$200),0)&gt;IFERROR(VALUE(Risultati!$F$2:$F$200),0)))+SUMPRODUCT((Risultati!$G$2:$G$200=B9)*(IFERROR(VALUE(Risultati!$F$2:$F$200),0)&gt;IFERROR(VALUE(Risultati!$D$2:$D$200),0)))</f>
        <v>0</v>
      </c>
      <c r="F9" s="59">
        <f>SUMPRODUCT((Risultati!$C$2:$C$200=B9)*(Risultati!$D$2:$D$200&lt;&gt;"")*((IFERROR(VALUE(Risultati!$D$2:$D$200),0))=(IFERROR(VALUE(Risultati!$F$2:$F$200),0))))+SUMPRODUCT((Risultati!$G$2:$G$200=B9)*(Risultati!$D$2:$D$200&lt;&gt;"")*((IFERROR(VALUE(Risultati!$D$2:$D$200),0))=(IFERROR(VALUE(Risultati!$F$2:$F$200),0))))</f>
        <v>0</v>
      </c>
      <c r="G9" s="59">
        <f>SUMPRODUCT((Risultati!$C$2:$C$200=B9)*(Risultati!$D$2:$D$200&lt;&gt;"")*((IFERROR(VALUE(Risultati!$D$2:$D$200),0))&lt;(IFERROR(VALUE(Risultati!$F$2:$F$200),0))))+SUMPRODUCT((Risultati!$G$2:$G$200=B9)*(Risultati!$D$2:$D$200&lt;&gt;"")*((IFERROR(VALUE(Risultati!$F$2:$F$200),0))&lt;(IFERROR(VALUE(Risultati!$D$2:$D$200),0))))</f>
        <v>3</v>
      </c>
      <c r="H9" s="59">
        <f>SUMPRODUCT((Risultati!$C$2:$C$200=B9)*(Risultati!$D$2:$D$200&lt;&gt;"")*IFERROR(VALUE(Risultati!$D$2:$D$200),0))+SUMPRODUCT((Risultati!$G$2:$G$200=B9)*(Risultati!$D$2:$D$200&lt;&gt;"")*IFERROR(VALUE(Risultati!$F$2:$F$200),0))</f>
        <v>5</v>
      </c>
      <c r="I9" s="59">
        <f>SUMPRODUCT((Risultati!$C$2:$C$200=B9)*(Risultati!$D$2:$D$200&lt;&gt;"")*IFERROR(VALUE(Risultati!$F$2:$F$200),0))+SUMPRODUCT((Risultati!$G$2:$G$200=B9)*(Risultati!$D$2:$D$200&lt;&gt;"")*IFERROR(VALUE(Risultati!$D$2:$D$200),0))</f>
        <v>23</v>
      </c>
      <c r="J9" s="59">
        <f t="shared" si="1"/>
        <v>-18</v>
      </c>
      <c r="K9" s="59">
        <f t="shared" si="2"/>
        <v>0</v>
      </c>
    </row>
    <row r="10" ht="16.5" customHeight="1">
      <c r="A10" s="60">
        <v>8.0</v>
      </c>
      <c r="B10" s="61" t="s">
        <v>21</v>
      </c>
      <c r="C10" s="64">
        <v>3.0</v>
      </c>
      <c r="D10" s="59">
        <f>SUMPRODUCT((Risultati!$C$2:$C$200=B10)*(Risultati!$D$2:$D$200&lt;&gt;""))+SUMPRODUCT((Risultati!$G$2:$G$200=B10)*(Risultati!$D$2:$D$200&lt;&gt;""))</f>
        <v>4</v>
      </c>
      <c r="E10" s="59">
        <f>SUMPRODUCT((Risultati!$C$2:$C$200=B10)*(IFERROR(VALUE(Risultati!$D$2:$D$200),0)&gt;IFERROR(VALUE(Risultati!$F$2:$F$200),0)))+SUMPRODUCT((Risultati!$G$2:$G$200=B10)*(IFERROR(VALUE(Risultati!$F$2:$F$200),0)&gt;IFERROR(VALUE(Risultati!$D$2:$D$200),0)))</f>
        <v>3</v>
      </c>
      <c r="F10" s="59">
        <f>SUMPRODUCT((Risultati!$C$2:$C$200=B10)*(Risultati!$D$2:$D$200&lt;&gt;"")*((IFERROR(VALUE(Risultati!$D$2:$D$200),0))=(IFERROR(VALUE(Risultati!$F$2:$F$200),0))))+SUMPRODUCT((Risultati!$G$2:$G$200=B10)*(Risultati!$D$2:$D$200&lt;&gt;"")*((IFERROR(VALUE(Risultati!$D$2:$D$200),0))=(IFERROR(VALUE(Risultati!$F$2:$F$200),0))))</f>
        <v>1</v>
      </c>
      <c r="G10" s="59">
        <f>SUMPRODUCT((Risultati!$C$2:$C$200=B10)*(Risultati!$D$2:$D$200&lt;&gt;"")*((IFERROR(VALUE(Risultati!$D$2:$D$200),0))&lt;(IFERROR(VALUE(Risultati!$F$2:$F$200),0))))+SUMPRODUCT((Risultati!$G$2:$G$200=B10)*(Risultati!$D$2:$D$200&lt;&gt;"")*((IFERROR(VALUE(Risultati!$F$2:$F$200),0))&lt;(IFERROR(VALUE(Risultati!$D$2:$D$200),0))))</f>
        <v>0</v>
      </c>
      <c r="H10" s="59">
        <f>SUMPRODUCT((Risultati!$C$2:$C$200=B10)*(Risultati!$D$2:$D$200&lt;&gt;"")*IFERROR(VALUE(Risultati!$D$2:$D$200),0))+SUMPRODUCT((Risultati!$G$2:$G$200=B10)*(Risultati!$D$2:$D$200&lt;&gt;"")*IFERROR(VALUE(Risultati!$F$2:$F$200),0))</f>
        <v>24</v>
      </c>
      <c r="I10" s="59">
        <f>SUMPRODUCT((Risultati!$C$2:$C$200=B10)*(Risultati!$D$2:$D$200&lt;&gt;"")*IFERROR(VALUE(Risultati!$F$2:$F$200),0))+SUMPRODUCT((Risultati!$G$2:$G$200=B10)*(Risultati!$D$2:$D$200&lt;&gt;"")*IFERROR(VALUE(Risultati!$D$2:$D$200),0))</f>
        <v>14</v>
      </c>
      <c r="J10" s="59">
        <f t="shared" si="1"/>
        <v>10</v>
      </c>
      <c r="K10" s="59">
        <f t="shared" si="2"/>
        <v>10</v>
      </c>
    </row>
    <row r="11" ht="16.5" customHeight="1">
      <c r="A11" s="57">
        <v>9.0</v>
      </c>
      <c r="B11" s="58" t="s">
        <v>11</v>
      </c>
      <c r="C11" s="65">
        <v>1.0</v>
      </c>
      <c r="D11" s="59">
        <f>SUMPRODUCT((Risultati!$C$2:$C$200=B11)*(Risultati!$D$2:$D$200&lt;&gt;""))+SUMPRODUCT((Risultati!$G$2:$G$200=B11)*(Risultati!$D$2:$D$200&lt;&gt;""))</f>
        <v>3</v>
      </c>
      <c r="E11" s="59">
        <f>SUMPRODUCT((Risultati!$C$2:$C$200=B11)*(IFERROR(VALUE(Risultati!$D$2:$D$200),0)&gt;IFERROR(VALUE(Risultati!$F$2:$F$200),0)))+SUMPRODUCT((Risultati!$G$2:$G$200=B11)*(IFERROR(VALUE(Risultati!$F$2:$F$200),0)&gt;IFERROR(VALUE(Risultati!$D$2:$D$200),0)))</f>
        <v>3</v>
      </c>
      <c r="F11" s="59">
        <f>SUMPRODUCT((Risultati!$C$2:$C$200=B11)*(Risultati!$D$2:$D$200&lt;&gt;"")*((IFERROR(VALUE(Risultati!$D$2:$D$200),0))=(IFERROR(VALUE(Risultati!$F$2:$F$200),0))))+SUMPRODUCT((Risultati!$G$2:$G$200=B11)*(Risultati!$D$2:$D$200&lt;&gt;"")*((IFERROR(VALUE(Risultati!$D$2:$D$200),0))=(IFERROR(VALUE(Risultati!$F$2:$F$200),0))))</f>
        <v>0</v>
      </c>
      <c r="G11" s="59">
        <f>SUMPRODUCT((Risultati!$C$2:$C$200=B11)*(Risultati!$D$2:$D$200&lt;&gt;"")*((IFERROR(VALUE(Risultati!$D$2:$D$200),0))&lt;(IFERROR(VALUE(Risultati!$F$2:$F$200),0))))+SUMPRODUCT((Risultati!$G$2:$G$200=B11)*(Risultati!$D$2:$D$200&lt;&gt;"")*((IFERROR(VALUE(Risultati!$F$2:$F$200),0))&lt;(IFERROR(VALUE(Risultati!$D$2:$D$200),0))))</f>
        <v>0</v>
      </c>
      <c r="H11" s="59">
        <f>SUMPRODUCT((Risultati!$C$2:$C$200=B11)*(Risultati!$D$2:$D$200&lt;&gt;"")*IFERROR(VALUE(Risultati!$D$2:$D$200),0))+SUMPRODUCT((Risultati!$G$2:$G$200=B11)*(Risultati!$D$2:$D$200&lt;&gt;"")*IFERROR(VALUE(Risultati!$F$2:$F$200),0))</f>
        <v>18</v>
      </c>
      <c r="I11" s="59">
        <f>SUMPRODUCT((Risultati!$C$2:$C$200=B11)*(Risultati!$D$2:$D$200&lt;&gt;"")*IFERROR(VALUE(Risultati!$F$2:$F$200),0))+SUMPRODUCT((Risultati!$G$2:$G$200=B11)*(Risultati!$D$2:$D$200&lt;&gt;"")*IFERROR(VALUE(Risultati!$D$2:$D$200),0))</f>
        <v>5</v>
      </c>
      <c r="J11" s="59">
        <f t="shared" si="1"/>
        <v>13</v>
      </c>
      <c r="K11" s="59">
        <f t="shared" si="2"/>
        <v>9</v>
      </c>
    </row>
    <row r="12" ht="16.5" customHeight="1">
      <c r="A12" s="60">
        <v>10.0</v>
      </c>
      <c r="B12" s="61" t="s">
        <v>33</v>
      </c>
      <c r="C12" s="66">
        <v>5.0</v>
      </c>
      <c r="D12" s="59">
        <f>SUMPRODUCT((Risultati!$C$2:$C$200=B12)*(Risultati!$D$2:$D$200&lt;&gt;""))+SUMPRODUCT((Risultati!$G$2:$G$200=B12)*(Risultati!$D$2:$D$200&lt;&gt;""))</f>
        <v>3</v>
      </c>
      <c r="E12" s="59">
        <f>SUMPRODUCT((Risultati!$C$2:$C$200=B12)*(IFERROR(VALUE(Risultati!$D$2:$D$200),0)&gt;IFERROR(VALUE(Risultati!$F$2:$F$200),0)))+SUMPRODUCT((Risultati!$G$2:$G$200=B12)*(IFERROR(VALUE(Risultati!$F$2:$F$200),0)&gt;IFERROR(VALUE(Risultati!$D$2:$D$200),0)))</f>
        <v>2</v>
      </c>
      <c r="F12" s="59">
        <f>SUMPRODUCT((Risultati!$C$2:$C$200=B12)*(Risultati!$D$2:$D$200&lt;&gt;"")*((IFERROR(VALUE(Risultati!$D$2:$D$200),0))=(IFERROR(VALUE(Risultati!$F$2:$F$200),0))))+SUMPRODUCT((Risultati!$G$2:$G$200=B12)*(Risultati!$D$2:$D$200&lt;&gt;"")*((IFERROR(VALUE(Risultati!$D$2:$D$200),0))=(IFERROR(VALUE(Risultati!$F$2:$F$200),0))))</f>
        <v>1</v>
      </c>
      <c r="G12" s="59">
        <f>SUMPRODUCT((Risultati!$C$2:$C$200=B12)*(Risultati!$D$2:$D$200&lt;&gt;"")*((IFERROR(VALUE(Risultati!$D$2:$D$200),0))&lt;(IFERROR(VALUE(Risultati!$F$2:$F$200),0))))+SUMPRODUCT((Risultati!$G$2:$G$200=B12)*(Risultati!$D$2:$D$200&lt;&gt;"")*((IFERROR(VALUE(Risultati!$F$2:$F$200),0))&lt;(IFERROR(VALUE(Risultati!$D$2:$D$200),0))))</f>
        <v>0</v>
      </c>
      <c r="H12" s="59">
        <f>SUMPRODUCT((Risultati!$C$2:$C$200=B12)*(Risultati!$D$2:$D$200&lt;&gt;"")*IFERROR(VALUE(Risultati!$D$2:$D$200),0))+SUMPRODUCT((Risultati!$G$2:$G$200=B12)*(Risultati!$D$2:$D$200&lt;&gt;"")*IFERROR(VALUE(Risultati!$F$2:$F$200),0))</f>
        <v>20</v>
      </c>
      <c r="I12" s="59">
        <f>SUMPRODUCT((Risultati!$C$2:$C$200=B12)*(Risultati!$D$2:$D$200&lt;&gt;"")*IFERROR(VALUE(Risultati!$F$2:$F$200),0))+SUMPRODUCT((Risultati!$G$2:$G$200=B12)*(Risultati!$D$2:$D$200&lt;&gt;"")*IFERROR(VALUE(Risultati!$D$2:$D$200),0))</f>
        <v>7</v>
      </c>
      <c r="J12" s="59">
        <f t="shared" si="1"/>
        <v>13</v>
      </c>
      <c r="K12" s="59">
        <f t="shared" si="2"/>
        <v>7</v>
      </c>
    </row>
    <row r="13" ht="16.5" customHeight="1">
      <c r="A13" s="57">
        <v>11.0</v>
      </c>
      <c r="B13" s="58" t="s">
        <v>37</v>
      </c>
      <c r="C13" s="65">
        <v>4.0</v>
      </c>
      <c r="D13" s="59">
        <f>SUMPRODUCT((Risultati!$C$2:$C$200=B13)*(Risultati!$D$2:$D$200&lt;&gt;""))+SUMPRODUCT((Risultati!$G$2:$G$200=B13)*(Risultati!$D$2:$D$200&lt;&gt;""))</f>
        <v>3</v>
      </c>
      <c r="E13" s="59">
        <f>SUMPRODUCT((Risultati!$C$2:$C$200=B13)*(IFERROR(VALUE(Risultati!$D$2:$D$200),0)&gt;IFERROR(VALUE(Risultati!$F$2:$F$200),0)))+SUMPRODUCT((Risultati!$G$2:$G$200=B13)*(IFERROR(VALUE(Risultati!$F$2:$F$200),0)&gt;IFERROR(VALUE(Risultati!$D$2:$D$200),0)))</f>
        <v>1</v>
      </c>
      <c r="F13" s="59">
        <f>SUMPRODUCT((Risultati!$C$2:$C$200=B13)*(Risultati!$D$2:$D$200&lt;&gt;"")*((IFERROR(VALUE(Risultati!$D$2:$D$200),0))=(IFERROR(VALUE(Risultati!$F$2:$F$200),0))))+SUMPRODUCT((Risultati!$G$2:$G$200=B13)*(Risultati!$D$2:$D$200&lt;&gt;"")*((IFERROR(VALUE(Risultati!$D$2:$D$200),0))=(IFERROR(VALUE(Risultati!$F$2:$F$200),0))))</f>
        <v>0</v>
      </c>
      <c r="G13" s="59">
        <f>SUMPRODUCT((Risultati!$C$2:$C$200=B13)*(Risultati!$D$2:$D$200&lt;&gt;"")*((IFERROR(VALUE(Risultati!$D$2:$D$200),0))&lt;(IFERROR(VALUE(Risultati!$F$2:$F$200),0))))+SUMPRODUCT((Risultati!$G$2:$G$200=B13)*(Risultati!$D$2:$D$200&lt;&gt;"")*((IFERROR(VALUE(Risultati!$F$2:$F$200),0))&lt;(IFERROR(VALUE(Risultati!$D$2:$D$200),0))))</f>
        <v>2</v>
      </c>
      <c r="H13" s="59">
        <f>SUMPRODUCT((Risultati!$C$2:$C$200=B13)*(Risultati!$D$2:$D$200&lt;&gt;"")*IFERROR(VALUE(Risultati!$D$2:$D$200),0))+SUMPRODUCT((Risultati!$G$2:$G$200=B13)*(Risultati!$D$2:$D$200&lt;&gt;"")*IFERROR(VALUE(Risultati!$F$2:$F$200),0))</f>
        <v>8</v>
      </c>
      <c r="I13" s="59">
        <f>SUMPRODUCT((Risultati!$C$2:$C$200=B13)*(Risultati!$D$2:$D$200&lt;&gt;"")*IFERROR(VALUE(Risultati!$F$2:$F$200),0))+SUMPRODUCT((Risultati!$G$2:$G$200=B13)*(Risultati!$D$2:$D$200&lt;&gt;"")*IFERROR(VALUE(Risultati!$D$2:$D$200),0))</f>
        <v>12</v>
      </c>
      <c r="J13" s="59">
        <f t="shared" si="1"/>
        <v>-4</v>
      </c>
      <c r="K13" s="59">
        <f t="shared" si="2"/>
        <v>3</v>
      </c>
    </row>
    <row r="14" ht="16.5" customHeight="1">
      <c r="A14" s="60">
        <v>12.0</v>
      </c>
      <c r="B14" s="61" t="s">
        <v>28</v>
      </c>
      <c r="C14" s="66">
        <v>5.0</v>
      </c>
      <c r="D14" s="59">
        <f>SUMPRODUCT((Risultati!$C$2:$C$200=B14)*(Risultati!$D$2:$D$200&lt;&gt;""))+SUMPRODUCT((Risultati!$G$2:$G$200=B14)*(Risultati!$D$2:$D$200&lt;&gt;""))</f>
        <v>3</v>
      </c>
      <c r="E14" s="59">
        <f>SUMPRODUCT((Risultati!$C$2:$C$200=B14)*(IFERROR(VALUE(Risultati!$D$2:$D$200),0)&gt;IFERROR(VALUE(Risultati!$F$2:$F$200),0)))+SUMPRODUCT((Risultati!$G$2:$G$200=B14)*(IFERROR(VALUE(Risultati!$F$2:$F$200),0)&gt;IFERROR(VALUE(Risultati!$D$2:$D$200),0)))</f>
        <v>0</v>
      </c>
      <c r="F14" s="59">
        <f>SUMPRODUCT((Risultati!$C$2:$C$200=B14)*(Risultati!$D$2:$D$200&lt;&gt;"")*((IFERROR(VALUE(Risultati!$D$2:$D$200),0))=(IFERROR(VALUE(Risultati!$F$2:$F$200),0))))+SUMPRODUCT((Risultati!$G$2:$G$200=B14)*(Risultati!$D$2:$D$200&lt;&gt;"")*((IFERROR(VALUE(Risultati!$D$2:$D$200),0))=(IFERROR(VALUE(Risultati!$F$2:$F$200),0))))</f>
        <v>0</v>
      </c>
      <c r="G14" s="59">
        <f>SUMPRODUCT((Risultati!$C$2:$C$200=B14)*(Risultati!$D$2:$D$200&lt;&gt;"")*((IFERROR(VALUE(Risultati!$D$2:$D$200),0))&lt;(IFERROR(VALUE(Risultati!$F$2:$F$200),0))))+SUMPRODUCT((Risultati!$G$2:$G$200=B14)*(Risultati!$D$2:$D$200&lt;&gt;"")*((IFERROR(VALUE(Risultati!$F$2:$F$200),0))&lt;(IFERROR(VALUE(Risultati!$D$2:$D$200),0))))</f>
        <v>3</v>
      </c>
      <c r="H14" s="59">
        <f>SUMPRODUCT((Risultati!$C$2:$C$200=B14)*(Risultati!$D$2:$D$200&lt;&gt;"")*IFERROR(VALUE(Risultati!$D$2:$D$200),0))+SUMPRODUCT((Risultati!$G$2:$G$200=B14)*(Risultati!$D$2:$D$200&lt;&gt;"")*IFERROR(VALUE(Risultati!$F$2:$F$200),0))</f>
        <v>3</v>
      </c>
      <c r="I14" s="59">
        <f>SUMPRODUCT((Risultati!$C$2:$C$200=B14)*(Risultati!$D$2:$D$200&lt;&gt;"")*IFERROR(VALUE(Risultati!$F$2:$F$200),0))+SUMPRODUCT((Risultati!$G$2:$G$200=B14)*(Risultati!$D$2:$D$200&lt;&gt;"")*IFERROR(VALUE(Risultati!$D$2:$D$200),0))</f>
        <v>15</v>
      </c>
      <c r="J14" s="59">
        <f t="shared" si="1"/>
        <v>-12</v>
      </c>
      <c r="K14" s="59">
        <f t="shared" si="2"/>
        <v>0</v>
      </c>
    </row>
    <row r="15" ht="16.5" customHeight="1">
      <c r="A15" s="57">
        <v>13.0</v>
      </c>
      <c r="B15" s="58" t="s">
        <v>50</v>
      </c>
      <c r="C15" s="67">
        <v>6.0</v>
      </c>
      <c r="D15" s="59">
        <f>SUMPRODUCT((Risultati!$C$2:$C$200=B15)*(Risultati!$D$2:$D$200&lt;&gt;""))+SUMPRODUCT((Risultati!$G$2:$G$200=B15)*(Risultati!$D$2:$D$200&lt;&gt;""))</f>
        <v>4</v>
      </c>
      <c r="E15" s="59">
        <f>SUMPRODUCT((Risultati!$C$2:$C$200=B15)*(IFERROR(VALUE(Risultati!$D$2:$D$200),0)&gt;IFERROR(VALUE(Risultati!$F$2:$F$200),0)))+SUMPRODUCT((Risultati!$G$2:$G$200=B15)*(IFERROR(VALUE(Risultati!$F$2:$F$200),0)&gt;IFERROR(VALUE(Risultati!$D$2:$D$200),0)))</f>
        <v>2</v>
      </c>
      <c r="F15" s="59">
        <f>SUMPRODUCT((Risultati!$C$2:$C$200=B15)*(Risultati!$D$2:$D$200&lt;&gt;"")*((IFERROR(VALUE(Risultati!$D$2:$D$200),0))=(IFERROR(VALUE(Risultati!$F$2:$F$200),0))))+SUMPRODUCT((Risultati!$G$2:$G$200=B15)*(Risultati!$D$2:$D$200&lt;&gt;"")*((IFERROR(VALUE(Risultati!$D$2:$D$200),0))=(IFERROR(VALUE(Risultati!$F$2:$F$200),0))))</f>
        <v>0</v>
      </c>
      <c r="G15" s="59">
        <f>SUMPRODUCT((Risultati!$C$2:$C$200=B15)*(Risultati!$D$2:$D$200&lt;&gt;"")*((IFERROR(VALUE(Risultati!$D$2:$D$200),0))&lt;(IFERROR(VALUE(Risultati!$F$2:$F$200),0))))+SUMPRODUCT((Risultati!$G$2:$G$200=B15)*(Risultati!$D$2:$D$200&lt;&gt;"")*((IFERROR(VALUE(Risultati!$F$2:$F$200),0))&lt;(IFERROR(VALUE(Risultati!$D$2:$D$200),0))))</f>
        <v>2</v>
      </c>
      <c r="H15" s="59">
        <f>SUMPRODUCT((Risultati!$C$2:$C$200=B15)*(Risultati!$D$2:$D$200&lt;&gt;"")*IFERROR(VALUE(Risultati!$D$2:$D$200),0))+SUMPRODUCT((Risultati!$G$2:$G$200=B15)*(Risultati!$D$2:$D$200&lt;&gt;"")*IFERROR(VALUE(Risultati!$F$2:$F$200),0))</f>
        <v>13</v>
      </c>
      <c r="I15" s="59">
        <f>SUMPRODUCT((Risultati!$C$2:$C$200=B15)*(Risultati!$D$2:$D$200&lt;&gt;"")*IFERROR(VALUE(Risultati!$F$2:$F$200),0))+SUMPRODUCT((Risultati!$G$2:$G$200=B15)*(Risultati!$D$2:$D$200&lt;&gt;"")*IFERROR(VALUE(Risultati!$D$2:$D$200),0))</f>
        <v>16</v>
      </c>
      <c r="J15" s="59">
        <f t="shared" si="1"/>
        <v>-3</v>
      </c>
      <c r="K15" s="59">
        <f t="shared" si="2"/>
        <v>6</v>
      </c>
    </row>
    <row r="16" ht="16.5" customHeight="1">
      <c r="A16" s="60">
        <v>14.0</v>
      </c>
      <c r="B16" s="61" t="s">
        <v>13</v>
      </c>
      <c r="C16" s="68">
        <v>3.0</v>
      </c>
      <c r="D16" s="59">
        <f>SUMPRODUCT((Risultati!$C$2:$C$200=B16)*(Risultati!$D$2:$D$200&lt;&gt;""))+SUMPRODUCT((Risultati!$G$2:$G$200=B16)*(Risultati!$D$2:$D$200&lt;&gt;""))</f>
        <v>4</v>
      </c>
      <c r="E16" s="59">
        <f>SUMPRODUCT((Risultati!$C$2:$C$200=B16)*(IFERROR(VALUE(Risultati!$D$2:$D$200),0)&gt;IFERROR(VALUE(Risultati!$F$2:$F$200),0)))+SUMPRODUCT((Risultati!$G$2:$G$200=B16)*(IFERROR(VALUE(Risultati!$F$2:$F$200),0)&gt;IFERROR(VALUE(Risultati!$D$2:$D$200),0)))</f>
        <v>2</v>
      </c>
      <c r="F16" s="59">
        <f>SUMPRODUCT((Risultati!$C$2:$C$200=B16)*(Risultati!$D$2:$D$200&lt;&gt;"")*((IFERROR(VALUE(Risultati!$D$2:$D$200),0))=(IFERROR(VALUE(Risultati!$F$2:$F$200),0))))+SUMPRODUCT((Risultati!$G$2:$G$200=B16)*(Risultati!$D$2:$D$200&lt;&gt;"")*((IFERROR(VALUE(Risultati!$D$2:$D$200),0))=(IFERROR(VALUE(Risultati!$F$2:$F$200),0))))</f>
        <v>0</v>
      </c>
      <c r="G16" s="59">
        <f>SUMPRODUCT((Risultati!$C$2:$C$200=B16)*(Risultati!$D$2:$D$200&lt;&gt;"")*((IFERROR(VALUE(Risultati!$D$2:$D$200),0))&lt;(IFERROR(VALUE(Risultati!$F$2:$F$200),0))))+SUMPRODUCT((Risultati!$G$2:$G$200=B16)*(Risultati!$D$2:$D$200&lt;&gt;"")*((IFERROR(VALUE(Risultati!$F$2:$F$200),0))&lt;(IFERROR(VALUE(Risultati!$D$2:$D$200),0))))</f>
        <v>2</v>
      </c>
      <c r="H16" s="59">
        <f>SUMPRODUCT((Risultati!$C$2:$C$200=B16)*(Risultati!$D$2:$D$200&lt;&gt;"")*IFERROR(VALUE(Risultati!$D$2:$D$200),0))+SUMPRODUCT((Risultati!$G$2:$G$200=B16)*(Risultati!$D$2:$D$200&lt;&gt;"")*IFERROR(VALUE(Risultati!$F$2:$F$200),0))</f>
        <v>19</v>
      </c>
      <c r="I16" s="59">
        <f>SUMPRODUCT((Risultati!$C$2:$C$200=B16)*(Risultati!$D$2:$D$200&lt;&gt;"")*IFERROR(VALUE(Risultati!$F$2:$F$200),0))+SUMPRODUCT((Risultati!$G$2:$G$200=B16)*(Risultati!$D$2:$D$200&lt;&gt;"")*IFERROR(VALUE(Risultati!$D$2:$D$200),0))</f>
        <v>16</v>
      </c>
      <c r="J16" s="59">
        <f t="shared" si="1"/>
        <v>3</v>
      </c>
      <c r="K16" s="59">
        <f t="shared" si="2"/>
        <v>6</v>
      </c>
    </row>
    <row r="17" ht="16.5" customHeight="1">
      <c r="A17" s="57">
        <v>15.0</v>
      </c>
      <c r="B17" s="58" t="s">
        <v>27</v>
      </c>
      <c r="C17" s="67">
        <v>4.0</v>
      </c>
      <c r="D17" s="59">
        <f>SUMPRODUCT((Risultati!$C$2:$C$200=B17)*(Risultati!$D$2:$D$200&lt;&gt;""))+SUMPRODUCT((Risultati!$G$2:$G$200=B17)*(Risultati!$D$2:$D$200&lt;&gt;""))</f>
        <v>4</v>
      </c>
      <c r="E17" s="59">
        <f>SUMPRODUCT((Risultati!$C$2:$C$200=B17)*(IFERROR(VALUE(Risultati!$D$2:$D$200),0)&gt;IFERROR(VALUE(Risultati!$F$2:$F$200),0)))+SUMPRODUCT((Risultati!$G$2:$G$200=B17)*(IFERROR(VALUE(Risultati!$F$2:$F$200),0)&gt;IFERROR(VALUE(Risultati!$D$2:$D$200),0)))</f>
        <v>1</v>
      </c>
      <c r="F17" s="59">
        <f>SUMPRODUCT((Risultati!$C$2:$C$200=B17)*(Risultati!$D$2:$D$200&lt;&gt;"")*((IFERROR(VALUE(Risultati!$D$2:$D$200),0))=(IFERROR(VALUE(Risultati!$F$2:$F$200),0))))+SUMPRODUCT((Risultati!$G$2:$G$200=B17)*(Risultati!$D$2:$D$200&lt;&gt;"")*((IFERROR(VALUE(Risultati!$D$2:$D$200),0))=(IFERROR(VALUE(Risultati!$F$2:$F$200),0))))</f>
        <v>0</v>
      </c>
      <c r="G17" s="59">
        <f>SUMPRODUCT((Risultati!$C$2:$C$200=B17)*(Risultati!$D$2:$D$200&lt;&gt;"")*((IFERROR(VALUE(Risultati!$D$2:$D$200),0))&lt;(IFERROR(VALUE(Risultati!$F$2:$F$200),0))))+SUMPRODUCT((Risultati!$G$2:$G$200=B17)*(Risultati!$D$2:$D$200&lt;&gt;"")*((IFERROR(VALUE(Risultati!$F$2:$F$200),0))&lt;(IFERROR(VALUE(Risultati!$D$2:$D$200),0))))</f>
        <v>3</v>
      </c>
      <c r="H17" s="59">
        <f>SUMPRODUCT((Risultati!$C$2:$C$200=B17)*(Risultati!$D$2:$D$200&lt;&gt;"")*IFERROR(VALUE(Risultati!$D$2:$D$200),0))+SUMPRODUCT((Risultati!$G$2:$G$200=B17)*(Risultati!$D$2:$D$200&lt;&gt;"")*IFERROR(VALUE(Risultati!$F$2:$F$200),0))</f>
        <v>9</v>
      </c>
      <c r="I17" s="59">
        <f>SUMPRODUCT((Risultati!$C$2:$C$200=B17)*(Risultati!$D$2:$D$200&lt;&gt;"")*IFERROR(VALUE(Risultati!$F$2:$F$200),0))+SUMPRODUCT((Risultati!$G$2:$G$200=B17)*(Risultati!$D$2:$D$200&lt;&gt;"")*IFERROR(VALUE(Risultati!$D$2:$D$200),0))</f>
        <v>16</v>
      </c>
      <c r="J17" s="59">
        <f t="shared" si="1"/>
        <v>-7</v>
      </c>
      <c r="K17" s="59">
        <f t="shared" si="2"/>
        <v>3</v>
      </c>
    </row>
    <row r="18" ht="16.5" customHeight="1">
      <c r="A18" s="60">
        <v>16.0</v>
      </c>
      <c r="B18" s="61" t="s">
        <v>34</v>
      </c>
      <c r="C18" s="68">
        <v>6.0</v>
      </c>
      <c r="D18" s="59">
        <f>SUMPRODUCT((Risultati!$C$2:$C$200=B18)*(Risultati!$D$2:$D$200&lt;&gt;""))+SUMPRODUCT((Risultati!$G$2:$G$200=B18)*(Risultati!$D$2:$D$200&lt;&gt;""))</f>
        <v>3</v>
      </c>
      <c r="E18" s="59">
        <f>SUMPRODUCT((Risultati!$C$2:$C$200=B18)*(IFERROR(VALUE(Risultati!$D$2:$D$200),0)&gt;IFERROR(VALUE(Risultati!$F$2:$F$200),0)))+SUMPRODUCT((Risultati!$G$2:$G$200=B18)*(IFERROR(VALUE(Risultati!$F$2:$F$200),0)&gt;IFERROR(VALUE(Risultati!$D$2:$D$200),0)))</f>
        <v>1</v>
      </c>
      <c r="F18" s="59">
        <f>SUMPRODUCT((Risultati!$C$2:$C$200=B18)*(Risultati!$D$2:$D$200&lt;&gt;"")*((IFERROR(VALUE(Risultati!$D$2:$D$200),0))=(IFERROR(VALUE(Risultati!$F$2:$F$200),0))))+SUMPRODUCT((Risultati!$G$2:$G$200=B18)*(Risultati!$D$2:$D$200&lt;&gt;"")*((IFERROR(VALUE(Risultati!$D$2:$D$200),0))=(IFERROR(VALUE(Risultati!$F$2:$F$200),0))))</f>
        <v>1</v>
      </c>
      <c r="G18" s="59">
        <f>SUMPRODUCT((Risultati!$C$2:$C$200=B18)*(Risultati!$D$2:$D$200&lt;&gt;"")*((IFERROR(VALUE(Risultati!$D$2:$D$200),0))&lt;(IFERROR(VALUE(Risultati!$F$2:$F$200),0))))+SUMPRODUCT((Risultati!$G$2:$G$200=B18)*(Risultati!$D$2:$D$200&lt;&gt;"")*((IFERROR(VALUE(Risultati!$F$2:$F$200),0))&lt;(IFERROR(VALUE(Risultati!$D$2:$D$200),0))))</f>
        <v>1</v>
      </c>
      <c r="H18" s="59">
        <f>SUMPRODUCT((Risultati!$C$2:$C$200=B18)*(Risultati!$D$2:$D$200&lt;&gt;"")*IFERROR(VALUE(Risultati!$D$2:$D$200),0))+SUMPRODUCT((Risultati!$G$2:$G$200=B18)*(Risultati!$D$2:$D$200&lt;&gt;"")*IFERROR(VALUE(Risultati!$F$2:$F$200),0))</f>
        <v>9</v>
      </c>
      <c r="I18" s="59">
        <f>SUMPRODUCT((Risultati!$C$2:$C$200=B18)*(Risultati!$D$2:$D$200&lt;&gt;"")*IFERROR(VALUE(Risultati!$F$2:$F$200),0))+SUMPRODUCT((Risultati!$G$2:$G$200=B18)*(Risultati!$D$2:$D$200&lt;&gt;"")*IFERROR(VALUE(Risultati!$D$2:$D$200),0))</f>
        <v>17</v>
      </c>
      <c r="J18" s="59">
        <f t="shared" si="1"/>
        <v>-8</v>
      </c>
      <c r="K18" s="59">
        <f t="shared" si="2"/>
        <v>4</v>
      </c>
    </row>
    <row r="19" ht="16.5" customHeight="1">
      <c r="A19" s="57">
        <v>17.0</v>
      </c>
      <c r="B19" s="58" t="s">
        <v>31</v>
      </c>
      <c r="C19" s="69">
        <v>6.0</v>
      </c>
      <c r="D19" s="59">
        <f>SUMPRODUCT((Risultati!$C$2:$C$200=B19)*(Risultati!$D$2:$D$200&lt;&gt;""))+SUMPRODUCT((Risultati!$G$2:$G$200=B19)*(Risultati!$D$2:$D$200&lt;&gt;""))</f>
        <v>4</v>
      </c>
      <c r="E19" s="59">
        <f>SUMPRODUCT((Risultati!$C$2:$C$200=B19)*(IFERROR(VALUE(Risultati!$D$2:$D$200),0)&gt;IFERROR(VALUE(Risultati!$F$2:$F$200),0)))+SUMPRODUCT((Risultati!$G$2:$G$200=B19)*(IFERROR(VALUE(Risultati!$F$2:$F$200),0)&gt;IFERROR(VALUE(Risultati!$D$2:$D$200),0)))</f>
        <v>2</v>
      </c>
      <c r="F19" s="59">
        <f>SUMPRODUCT((Risultati!$C$2:$C$200=B19)*(Risultati!$D$2:$D$200&lt;&gt;"")*((IFERROR(VALUE(Risultati!$D$2:$D$200),0))=(IFERROR(VALUE(Risultati!$F$2:$F$200),0))))+SUMPRODUCT((Risultati!$G$2:$G$200=B19)*(Risultati!$D$2:$D$200&lt;&gt;"")*((IFERROR(VALUE(Risultati!$D$2:$D$200),0))=(IFERROR(VALUE(Risultati!$F$2:$F$200),0))))</f>
        <v>0</v>
      </c>
      <c r="G19" s="59">
        <f>SUMPRODUCT((Risultati!$C$2:$C$200=B19)*(Risultati!$D$2:$D$200&lt;&gt;"")*((IFERROR(VALUE(Risultati!$D$2:$D$200),0))&lt;(IFERROR(VALUE(Risultati!$F$2:$F$200),0))))+SUMPRODUCT((Risultati!$G$2:$G$200=B19)*(Risultati!$D$2:$D$200&lt;&gt;"")*((IFERROR(VALUE(Risultati!$F$2:$F$200),0))&lt;(IFERROR(VALUE(Risultati!$D$2:$D$200),0))))</f>
        <v>2</v>
      </c>
      <c r="H19" s="59">
        <f>SUMPRODUCT((Risultati!$C$2:$C$200=B19)*(Risultati!$D$2:$D$200&lt;&gt;"")*IFERROR(VALUE(Risultati!$D$2:$D$200),0))+SUMPRODUCT((Risultati!$G$2:$G$200=B19)*(Risultati!$D$2:$D$200&lt;&gt;"")*IFERROR(VALUE(Risultati!$F$2:$F$200),0))</f>
        <v>16</v>
      </c>
      <c r="I19" s="59">
        <f>SUMPRODUCT((Risultati!$C$2:$C$200=B19)*(Risultati!$D$2:$D$200&lt;&gt;"")*IFERROR(VALUE(Risultati!$F$2:$F$200),0))+SUMPRODUCT((Risultati!$G$2:$G$200=B19)*(Risultati!$D$2:$D$200&lt;&gt;"")*IFERROR(VALUE(Risultati!$D$2:$D$200),0))</f>
        <v>17</v>
      </c>
      <c r="J19" s="59">
        <f t="shared" si="1"/>
        <v>-1</v>
      </c>
      <c r="K19" s="59">
        <f t="shared" si="2"/>
        <v>6</v>
      </c>
    </row>
    <row r="20" ht="16.5" customHeight="1">
      <c r="A20" s="60">
        <v>18.0</v>
      </c>
      <c r="B20" s="61" t="s">
        <v>49</v>
      </c>
      <c r="C20" s="70">
        <v>5.0</v>
      </c>
      <c r="D20" s="59">
        <f>SUMPRODUCT((Risultati!$C$2:$C$200=B20)*(Risultati!$D$2:$D$200&lt;&gt;""))+SUMPRODUCT((Risultati!$G$2:$G$200=B20)*(Risultati!$D$2:$D$200&lt;&gt;""))</f>
        <v>4</v>
      </c>
      <c r="E20" s="59">
        <f>SUMPRODUCT((Risultati!$C$2:$C$200=B20)*(IFERROR(VALUE(Risultati!$D$2:$D$200),0)&gt;IFERROR(VALUE(Risultati!$F$2:$F$200),0)))+SUMPRODUCT((Risultati!$G$2:$G$200=B20)*(IFERROR(VALUE(Risultati!$F$2:$F$200),0)&gt;IFERROR(VALUE(Risultati!$D$2:$D$200),0)))</f>
        <v>2</v>
      </c>
      <c r="F20" s="59">
        <f>SUMPRODUCT((Risultati!$C$2:$C$200=B20)*(Risultati!$D$2:$D$200&lt;&gt;"")*((IFERROR(VALUE(Risultati!$D$2:$D$200),0))=(IFERROR(VALUE(Risultati!$F$2:$F$200),0))))+SUMPRODUCT((Risultati!$G$2:$G$200=B20)*(Risultati!$D$2:$D$200&lt;&gt;"")*((IFERROR(VALUE(Risultati!$D$2:$D$200),0))=(IFERROR(VALUE(Risultati!$F$2:$F$200),0))))</f>
        <v>0</v>
      </c>
      <c r="G20" s="59">
        <f>SUMPRODUCT((Risultati!$C$2:$C$200=B20)*(Risultati!$D$2:$D$200&lt;&gt;"")*((IFERROR(VALUE(Risultati!$D$2:$D$200),0))&lt;(IFERROR(VALUE(Risultati!$F$2:$F$200),0))))+SUMPRODUCT((Risultati!$G$2:$G$200=B20)*(Risultati!$D$2:$D$200&lt;&gt;"")*((IFERROR(VALUE(Risultati!$F$2:$F$200),0))&lt;(IFERROR(VALUE(Risultati!$D$2:$D$200),0))))</f>
        <v>2</v>
      </c>
      <c r="H20" s="59">
        <f>SUMPRODUCT((Risultati!$C$2:$C$200=B20)*(Risultati!$D$2:$D$200&lt;&gt;"")*IFERROR(VALUE(Risultati!$D$2:$D$200),0))+SUMPRODUCT((Risultati!$G$2:$G$200=B20)*(Risultati!$D$2:$D$200&lt;&gt;"")*IFERROR(VALUE(Risultati!$F$2:$F$200),0))</f>
        <v>16</v>
      </c>
      <c r="I20" s="59">
        <f>SUMPRODUCT((Risultati!$C$2:$C$200=B20)*(Risultati!$D$2:$D$200&lt;&gt;"")*IFERROR(VALUE(Risultati!$F$2:$F$200),0))+SUMPRODUCT((Risultati!$G$2:$G$200=B20)*(Risultati!$D$2:$D$200&lt;&gt;"")*IFERROR(VALUE(Risultati!$D$2:$D$200),0))</f>
        <v>16</v>
      </c>
      <c r="J20" s="59">
        <f t="shared" si="1"/>
        <v>0</v>
      </c>
      <c r="K20" s="59">
        <f t="shared" si="2"/>
        <v>6</v>
      </c>
    </row>
    <row r="21" ht="16.5" customHeight="1">
      <c r="A21" s="57">
        <v>19.0</v>
      </c>
      <c r="B21" s="58" t="s">
        <v>30</v>
      </c>
      <c r="C21" s="69">
        <v>1.0</v>
      </c>
      <c r="D21" s="59">
        <f>SUMPRODUCT((Risultati!$C$2:$C$200=B21)*(Risultati!$D$2:$D$200&lt;&gt;""))+SUMPRODUCT((Risultati!$G$2:$G$200=B21)*(Risultati!$D$2:$D$200&lt;&gt;""))</f>
        <v>3</v>
      </c>
      <c r="E21" s="59">
        <f>SUMPRODUCT((Risultati!$C$2:$C$200=B21)*(IFERROR(VALUE(Risultati!$D$2:$D$200),0)&gt;IFERROR(VALUE(Risultati!$F$2:$F$200),0)))+SUMPRODUCT((Risultati!$G$2:$G$200=B21)*(IFERROR(VALUE(Risultati!$F$2:$F$200),0)&gt;IFERROR(VALUE(Risultati!$D$2:$D$200),0)))</f>
        <v>3</v>
      </c>
      <c r="F21" s="59">
        <f>SUMPRODUCT((Risultati!$C$2:$C$200=B21)*(Risultati!$D$2:$D$200&lt;&gt;"")*((IFERROR(VALUE(Risultati!$D$2:$D$200),0))=(IFERROR(VALUE(Risultati!$F$2:$F$200),0))))+SUMPRODUCT((Risultati!$G$2:$G$200=B21)*(Risultati!$D$2:$D$200&lt;&gt;"")*((IFERROR(VALUE(Risultati!$D$2:$D$200),0))=(IFERROR(VALUE(Risultati!$F$2:$F$200),0))))</f>
        <v>0</v>
      </c>
      <c r="G21" s="59">
        <f>SUMPRODUCT((Risultati!$C$2:$C$200=B21)*(Risultati!$D$2:$D$200&lt;&gt;"")*((IFERROR(VALUE(Risultati!$D$2:$D$200),0))&lt;(IFERROR(VALUE(Risultati!$F$2:$F$200),0))))+SUMPRODUCT((Risultati!$G$2:$G$200=B21)*(Risultati!$D$2:$D$200&lt;&gt;"")*((IFERROR(VALUE(Risultati!$F$2:$F$200),0))&lt;(IFERROR(VALUE(Risultati!$D$2:$D$200),0))))</f>
        <v>0</v>
      </c>
      <c r="H21" s="59">
        <f>SUMPRODUCT((Risultati!$C$2:$C$200=B21)*(Risultati!$D$2:$D$200&lt;&gt;"")*IFERROR(VALUE(Risultati!$D$2:$D$200),0))+SUMPRODUCT((Risultati!$G$2:$G$200=B21)*(Risultati!$D$2:$D$200&lt;&gt;"")*IFERROR(VALUE(Risultati!$F$2:$F$200),0))</f>
        <v>25</v>
      </c>
      <c r="I21" s="59">
        <f>SUMPRODUCT((Risultati!$C$2:$C$200=B21)*(Risultati!$D$2:$D$200&lt;&gt;"")*IFERROR(VALUE(Risultati!$F$2:$F$200),0))+SUMPRODUCT((Risultati!$G$2:$G$200=B21)*(Risultati!$D$2:$D$200&lt;&gt;"")*IFERROR(VALUE(Risultati!$D$2:$D$200),0))</f>
        <v>9</v>
      </c>
      <c r="J21" s="59">
        <f t="shared" si="1"/>
        <v>16</v>
      </c>
      <c r="K21" s="59">
        <f t="shared" si="2"/>
        <v>9</v>
      </c>
    </row>
    <row r="22" ht="16.5" customHeight="1">
      <c r="A22" s="60">
        <v>20.0</v>
      </c>
      <c r="B22" s="61" t="s">
        <v>44</v>
      </c>
      <c r="C22" s="70">
        <v>4.0</v>
      </c>
      <c r="D22" s="59">
        <f>SUMPRODUCT((Risultati!$C$2:$C$200=B22)*(Risultati!$D$2:$D$200&lt;&gt;""))+SUMPRODUCT((Risultati!$G$2:$G$200=B22)*(Risultati!$D$2:$D$200&lt;&gt;""))</f>
        <v>4</v>
      </c>
      <c r="E22" s="59">
        <f>SUMPRODUCT((Risultati!$C$2:$C$200=B22)*(IFERROR(VALUE(Risultati!$D$2:$D$200),0)&gt;IFERROR(VALUE(Risultati!$F$2:$F$200),0)))+SUMPRODUCT((Risultati!$G$2:$G$200=B22)*(IFERROR(VALUE(Risultati!$F$2:$F$200),0)&gt;IFERROR(VALUE(Risultati!$D$2:$D$200),0)))</f>
        <v>0</v>
      </c>
      <c r="F22" s="59">
        <f>SUMPRODUCT((Risultati!$C$2:$C$200=B22)*(Risultati!$D$2:$D$200&lt;&gt;"")*((IFERROR(VALUE(Risultati!$D$2:$D$200),0))=(IFERROR(VALUE(Risultati!$F$2:$F$200),0))))+SUMPRODUCT((Risultati!$G$2:$G$200=B22)*(Risultati!$D$2:$D$200&lt;&gt;"")*((IFERROR(VALUE(Risultati!$D$2:$D$200),0))=(IFERROR(VALUE(Risultati!$F$2:$F$200),0))))</f>
        <v>0</v>
      </c>
      <c r="G22" s="59">
        <f>SUMPRODUCT((Risultati!$C$2:$C$200=B22)*(Risultati!$D$2:$D$200&lt;&gt;"")*((IFERROR(VALUE(Risultati!$D$2:$D$200),0))&lt;(IFERROR(VALUE(Risultati!$F$2:$F$200),0))))+SUMPRODUCT((Risultati!$G$2:$G$200=B22)*(Risultati!$D$2:$D$200&lt;&gt;"")*((IFERROR(VALUE(Risultati!$F$2:$F$200),0))&lt;(IFERROR(VALUE(Risultati!$D$2:$D$200),0))))</f>
        <v>4</v>
      </c>
      <c r="H22" s="59">
        <f>SUMPRODUCT((Risultati!$C$2:$C$200=B22)*(Risultati!$D$2:$D$200&lt;&gt;"")*IFERROR(VALUE(Risultati!$D$2:$D$200),0))+SUMPRODUCT((Risultati!$G$2:$G$200=B22)*(Risultati!$D$2:$D$200&lt;&gt;"")*IFERROR(VALUE(Risultati!$F$2:$F$200),0))</f>
        <v>12</v>
      </c>
      <c r="I22" s="59">
        <f>SUMPRODUCT((Risultati!$C$2:$C$200=B22)*(Risultati!$D$2:$D$200&lt;&gt;"")*IFERROR(VALUE(Risultati!$F$2:$F$200),0))+SUMPRODUCT((Risultati!$G$2:$G$200=B22)*(Risultati!$D$2:$D$200&lt;&gt;"")*IFERROR(VALUE(Risultati!$D$2:$D$200),0))</f>
        <v>27</v>
      </c>
      <c r="J22" s="59">
        <f t="shared" si="1"/>
        <v>-15</v>
      </c>
      <c r="K22" s="59">
        <f t="shared" si="2"/>
        <v>0</v>
      </c>
    </row>
    <row r="23" ht="16.5" customHeight="1">
      <c r="A23" s="57">
        <v>21.0</v>
      </c>
      <c r="B23" s="58" t="s">
        <v>47</v>
      </c>
      <c r="C23" s="71">
        <v>6.0</v>
      </c>
      <c r="D23" s="59">
        <f>SUMPRODUCT((Risultati!$C$2:$C$200=B23)*(Risultati!$D$2:$D$200&lt;&gt;""))+SUMPRODUCT((Risultati!$G$2:$G$200=B23)*(Risultati!$D$2:$D$200&lt;&gt;""))</f>
        <v>4</v>
      </c>
      <c r="E23" s="59">
        <f>SUMPRODUCT((Risultati!$C$2:$C$200=B23)*(IFERROR(VALUE(Risultati!$D$2:$D$200),0)&gt;IFERROR(VALUE(Risultati!$F$2:$F$200),0)))+SUMPRODUCT((Risultati!$G$2:$G$200=B23)*(IFERROR(VALUE(Risultati!$F$2:$F$200),0)&gt;IFERROR(VALUE(Risultati!$D$2:$D$200),0)))</f>
        <v>2</v>
      </c>
      <c r="F23" s="59">
        <f>SUMPRODUCT((Risultati!$C$2:$C$200=B23)*(Risultati!$D$2:$D$200&lt;&gt;"")*((IFERROR(VALUE(Risultati!$D$2:$D$200),0))=(IFERROR(VALUE(Risultati!$F$2:$F$200),0))))+SUMPRODUCT((Risultati!$G$2:$G$200=B23)*(Risultati!$D$2:$D$200&lt;&gt;"")*((IFERROR(VALUE(Risultati!$D$2:$D$200),0))=(IFERROR(VALUE(Risultati!$F$2:$F$200),0))))</f>
        <v>1</v>
      </c>
      <c r="G23" s="59">
        <f>SUMPRODUCT((Risultati!$C$2:$C$200=B23)*(Risultati!$D$2:$D$200&lt;&gt;"")*((IFERROR(VALUE(Risultati!$D$2:$D$200),0))&lt;(IFERROR(VALUE(Risultati!$F$2:$F$200),0))))+SUMPRODUCT((Risultati!$G$2:$G$200=B23)*(Risultati!$D$2:$D$200&lt;&gt;"")*((IFERROR(VALUE(Risultati!$F$2:$F$200),0))&lt;(IFERROR(VALUE(Risultati!$D$2:$D$200),0))))</f>
        <v>1</v>
      </c>
      <c r="H23" s="59">
        <f>SUMPRODUCT((Risultati!$C$2:$C$200=B23)*(Risultati!$D$2:$D$200&lt;&gt;"")*IFERROR(VALUE(Risultati!$D$2:$D$200),0))+SUMPRODUCT((Risultati!$G$2:$G$200=B23)*(Risultati!$D$2:$D$200&lt;&gt;"")*IFERROR(VALUE(Risultati!$F$2:$F$200),0))</f>
        <v>24</v>
      </c>
      <c r="I23" s="59">
        <f>SUMPRODUCT((Risultati!$C$2:$C$200=B23)*(Risultati!$D$2:$D$200&lt;&gt;"")*IFERROR(VALUE(Risultati!$F$2:$F$200),0))+SUMPRODUCT((Risultati!$G$2:$G$200=B23)*(Risultati!$D$2:$D$200&lt;&gt;"")*IFERROR(VALUE(Risultati!$D$2:$D$200),0))</f>
        <v>19</v>
      </c>
      <c r="J23" s="59">
        <f t="shared" si="1"/>
        <v>5</v>
      </c>
      <c r="K23" s="59">
        <f t="shared" si="2"/>
        <v>7</v>
      </c>
    </row>
    <row r="24" ht="16.5" customHeight="1">
      <c r="A24" s="60">
        <v>22.0</v>
      </c>
      <c r="B24" s="61" t="s">
        <v>20</v>
      </c>
      <c r="C24" s="72">
        <v>1.0</v>
      </c>
      <c r="D24" s="59">
        <f>SUMPRODUCT((Risultati!$C$2:$C$200=B24)*(Risultati!$D$2:$D$200&lt;&gt;""))+SUMPRODUCT((Risultati!$G$2:$G$200=B24)*(Risultati!$D$2:$D$200&lt;&gt;""))</f>
        <v>4</v>
      </c>
      <c r="E24" s="59">
        <f>SUMPRODUCT((Risultati!$C$2:$C$200=B24)*(IFERROR(VALUE(Risultati!$D$2:$D$200),0)&gt;IFERROR(VALUE(Risultati!$F$2:$F$200),0)))+SUMPRODUCT((Risultati!$G$2:$G$200=B24)*(IFERROR(VALUE(Risultati!$F$2:$F$200),0)&gt;IFERROR(VALUE(Risultati!$D$2:$D$200),0)))</f>
        <v>1</v>
      </c>
      <c r="F24" s="59">
        <f>SUMPRODUCT((Risultati!$C$2:$C$200=B24)*(Risultati!$D$2:$D$200&lt;&gt;"")*((IFERROR(VALUE(Risultati!$D$2:$D$200),0))=(IFERROR(VALUE(Risultati!$F$2:$F$200),0))))+SUMPRODUCT((Risultati!$G$2:$G$200=B24)*(Risultati!$D$2:$D$200&lt;&gt;"")*((IFERROR(VALUE(Risultati!$D$2:$D$200),0))=(IFERROR(VALUE(Risultati!$F$2:$F$200),0))))</f>
        <v>0</v>
      </c>
      <c r="G24" s="59">
        <f>SUMPRODUCT((Risultati!$C$2:$C$200=B24)*(Risultati!$D$2:$D$200&lt;&gt;"")*((IFERROR(VALUE(Risultati!$D$2:$D$200),0))&lt;(IFERROR(VALUE(Risultati!$F$2:$F$200),0))))+SUMPRODUCT((Risultati!$G$2:$G$200=B24)*(Risultati!$D$2:$D$200&lt;&gt;"")*((IFERROR(VALUE(Risultati!$F$2:$F$200),0))&lt;(IFERROR(VALUE(Risultati!$D$2:$D$200),0))))</f>
        <v>3</v>
      </c>
      <c r="H24" s="59">
        <f>SUMPRODUCT((Risultati!$C$2:$C$200=B24)*(Risultati!$D$2:$D$200&lt;&gt;"")*IFERROR(VALUE(Risultati!$D$2:$D$200),0))+SUMPRODUCT((Risultati!$G$2:$G$200=B24)*(Risultati!$D$2:$D$200&lt;&gt;"")*IFERROR(VALUE(Risultati!$F$2:$F$200),0))</f>
        <v>16</v>
      </c>
      <c r="I24" s="59">
        <f>SUMPRODUCT((Risultati!$C$2:$C$200=B24)*(Risultati!$D$2:$D$200&lt;&gt;"")*IFERROR(VALUE(Risultati!$F$2:$F$200),0))+SUMPRODUCT((Risultati!$G$2:$G$200=B24)*(Risultati!$D$2:$D$200&lt;&gt;"")*IFERROR(VALUE(Risultati!$D$2:$D$200),0))</f>
        <v>21</v>
      </c>
      <c r="J24" s="59">
        <f t="shared" si="1"/>
        <v>-5</v>
      </c>
      <c r="K24" s="59">
        <f t="shared" si="2"/>
        <v>3</v>
      </c>
    </row>
    <row r="25" ht="16.5" customHeight="1">
      <c r="A25" s="57">
        <v>23.0</v>
      </c>
      <c r="B25" s="58" t="s">
        <v>46</v>
      </c>
      <c r="C25" s="71">
        <v>5.0</v>
      </c>
      <c r="D25" s="59">
        <f>SUMPRODUCT((Risultati!$C$2:$C$200=B25)*(Risultati!$D$2:$D$200&lt;&gt;""))+SUMPRODUCT((Risultati!$G$2:$G$200=B25)*(Risultati!$D$2:$D$200&lt;&gt;""))</f>
        <v>3</v>
      </c>
      <c r="E25" s="59">
        <f>SUMPRODUCT((Risultati!$C$2:$C$200=B25)*(IFERROR(VALUE(Risultati!$D$2:$D$200),0)&gt;IFERROR(VALUE(Risultati!$F$2:$F$200),0)))+SUMPRODUCT((Risultati!$G$2:$G$200=B25)*(IFERROR(VALUE(Risultati!$F$2:$F$200),0)&gt;IFERROR(VALUE(Risultati!$D$2:$D$200),0)))</f>
        <v>1</v>
      </c>
      <c r="F25" s="59">
        <f>SUMPRODUCT((Risultati!$C$2:$C$200=B25)*(Risultati!$D$2:$D$200&lt;&gt;"")*((IFERROR(VALUE(Risultati!$D$2:$D$200),0))=(IFERROR(VALUE(Risultati!$F$2:$F$200),0))))+SUMPRODUCT((Risultati!$G$2:$G$200=B25)*(Risultati!$D$2:$D$200&lt;&gt;"")*((IFERROR(VALUE(Risultati!$D$2:$D$200),0))=(IFERROR(VALUE(Risultati!$F$2:$F$200),0))))</f>
        <v>0</v>
      </c>
      <c r="G25" s="59">
        <f>SUMPRODUCT((Risultati!$C$2:$C$200=B25)*(Risultati!$D$2:$D$200&lt;&gt;"")*((IFERROR(VALUE(Risultati!$D$2:$D$200),0))&lt;(IFERROR(VALUE(Risultati!$F$2:$F$200),0))))+SUMPRODUCT((Risultati!$G$2:$G$200=B25)*(Risultati!$D$2:$D$200&lt;&gt;"")*((IFERROR(VALUE(Risultati!$F$2:$F$200),0))&lt;(IFERROR(VALUE(Risultati!$D$2:$D$200),0))))</f>
        <v>2</v>
      </c>
      <c r="H25" s="59">
        <f>SUMPRODUCT((Risultati!$C$2:$C$200=B25)*(Risultati!$D$2:$D$200&lt;&gt;"")*IFERROR(VALUE(Risultati!$D$2:$D$200),0))+SUMPRODUCT((Risultati!$G$2:$G$200=B25)*(Risultati!$D$2:$D$200&lt;&gt;"")*IFERROR(VALUE(Risultati!$F$2:$F$200),0))</f>
        <v>13</v>
      </c>
      <c r="I25" s="59">
        <f>SUMPRODUCT((Risultati!$C$2:$C$200=B25)*(Risultati!$D$2:$D$200&lt;&gt;"")*IFERROR(VALUE(Risultati!$F$2:$F$200),0))+SUMPRODUCT((Risultati!$G$2:$G$200=B25)*(Risultati!$D$2:$D$200&lt;&gt;"")*IFERROR(VALUE(Risultati!$D$2:$D$200),0))</f>
        <v>18</v>
      </c>
      <c r="J25" s="59">
        <f t="shared" si="1"/>
        <v>-5</v>
      </c>
      <c r="K25" s="59">
        <f t="shared" si="2"/>
        <v>3</v>
      </c>
    </row>
    <row r="26" ht="16.5" customHeight="1">
      <c r="A26" s="60">
        <v>24.0</v>
      </c>
      <c r="B26" s="61" t="s">
        <v>43</v>
      </c>
      <c r="C26" s="72">
        <v>2.0</v>
      </c>
      <c r="D26" s="59">
        <f>SUMPRODUCT((Risultati!$C$2:$C$200=B26)*(Risultati!$D$2:$D$200&lt;&gt;""))+SUMPRODUCT((Risultati!$G$2:$G$200=B26)*(Risultati!$D$2:$D$200&lt;&gt;""))</f>
        <v>3</v>
      </c>
      <c r="E26" s="59">
        <f>SUMPRODUCT((Risultati!$C$2:$C$200=B26)*(IFERROR(VALUE(Risultati!$D$2:$D$200),0)&gt;IFERROR(VALUE(Risultati!$F$2:$F$200),0)))+SUMPRODUCT((Risultati!$G$2:$G$200=B26)*(IFERROR(VALUE(Risultati!$F$2:$F$200),0)&gt;IFERROR(VALUE(Risultati!$D$2:$D$200),0)))</f>
        <v>1</v>
      </c>
      <c r="F26" s="59">
        <f>SUMPRODUCT((Risultati!$C$2:$C$200=B26)*(Risultati!$D$2:$D$200&lt;&gt;"")*((IFERROR(VALUE(Risultati!$D$2:$D$200),0))=(IFERROR(VALUE(Risultati!$F$2:$F$200),0))))+SUMPRODUCT((Risultati!$G$2:$G$200=B26)*(Risultati!$D$2:$D$200&lt;&gt;"")*((IFERROR(VALUE(Risultati!$D$2:$D$200),0))=(IFERROR(VALUE(Risultati!$F$2:$F$200),0))))</f>
        <v>0</v>
      </c>
      <c r="G26" s="59">
        <f>SUMPRODUCT((Risultati!$C$2:$C$200=B26)*(Risultati!$D$2:$D$200&lt;&gt;"")*((IFERROR(VALUE(Risultati!$D$2:$D$200),0))&lt;(IFERROR(VALUE(Risultati!$F$2:$F$200),0))))+SUMPRODUCT((Risultati!$G$2:$G$200=B26)*(Risultati!$D$2:$D$200&lt;&gt;"")*((IFERROR(VALUE(Risultati!$F$2:$F$200),0))&lt;(IFERROR(VALUE(Risultati!$D$2:$D$200),0))))</f>
        <v>2</v>
      </c>
      <c r="H26" s="59">
        <f>SUMPRODUCT((Risultati!$C$2:$C$200=B26)*(Risultati!$D$2:$D$200&lt;&gt;"")*IFERROR(VALUE(Risultati!$D$2:$D$200),0))+SUMPRODUCT((Risultati!$G$2:$G$200=B26)*(Risultati!$D$2:$D$200&lt;&gt;"")*IFERROR(VALUE(Risultati!$F$2:$F$200),0))</f>
        <v>11</v>
      </c>
      <c r="I26" s="59">
        <f>SUMPRODUCT((Risultati!$C$2:$C$200=B26)*(Risultati!$D$2:$D$200&lt;&gt;"")*IFERROR(VALUE(Risultati!$F$2:$F$200),0))+SUMPRODUCT((Risultati!$G$2:$G$200=B26)*(Risultati!$D$2:$D$200&lt;&gt;"")*IFERROR(VALUE(Risultati!$D$2:$D$200),0))</f>
        <v>14</v>
      </c>
      <c r="J26" s="59">
        <f t="shared" si="1"/>
        <v>-3</v>
      </c>
      <c r="K26" s="59">
        <f t="shared" si="2"/>
        <v>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5.0"/>
    <col customWidth="1" min="3" max="3" width="22.0"/>
    <col customWidth="1" min="4" max="4" width="6.0"/>
    <col customWidth="1" min="5" max="26" width="8.71"/>
  </cols>
  <sheetData>
    <row r="1" ht="27.75" customHeight="1">
      <c r="A1" s="73" t="s">
        <v>97</v>
      </c>
      <c r="B1" s="74"/>
      <c r="C1" s="74"/>
      <c r="D1" s="75"/>
    </row>
    <row r="2" ht="18.0" customHeight="1">
      <c r="A2" s="76" t="s">
        <v>98</v>
      </c>
      <c r="B2" s="76" t="s">
        <v>99</v>
      </c>
      <c r="C2" s="76" t="s">
        <v>100</v>
      </c>
      <c r="D2" s="77" t="s">
        <v>4</v>
      </c>
    </row>
    <row r="3" ht="16.5" customHeight="1">
      <c r="A3" s="78">
        <v>1.0</v>
      </c>
      <c r="B3" s="79" t="s">
        <v>75</v>
      </c>
      <c r="C3" s="79" t="s">
        <v>11</v>
      </c>
      <c r="D3" s="80">
        <v>2.0</v>
      </c>
    </row>
    <row r="4" ht="16.5" customHeight="1">
      <c r="A4" s="81">
        <v>2.0</v>
      </c>
      <c r="B4" s="82" t="s">
        <v>101</v>
      </c>
      <c r="C4" s="82" t="s">
        <v>21</v>
      </c>
      <c r="D4" s="83">
        <v>3.0</v>
      </c>
    </row>
    <row r="5" ht="16.5" customHeight="1">
      <c r="A5" s="84">
        <v>3.0</v>
      </c>
      <c r="B5" s="79" t="s">
        <v>102</v>
      </c>
      <c r="C5" s="79" t="s">
        <v>103</v>
      </c>
      <c r="D5" s="80">
        <v>3.0</v>
      </c>
    </row>
    <row r="6" ht="16.5" customHeight="1">
      <c r="A6" s="85">
        <v>4.0</v>
      </c>
      <c r="B6" s="82" t="s">
        <v>104</v>
      </c>
      <c r="C6" s="82" t="s">
        <v>105</v>
      </c>
      <c r="D6" s="86">
        <v>1.0</v>
      </c>
    </row>
    <row r="7" ht="16.5" customHeight="1">
      <c r="A7" s="87">
        <v>5.0</v>
      </c>
      <c r="B7" s="79" t="s">
        <v>106</v>
      </c>
      <c r="C7" s="79" t="s">
        <v>107</v>
      </c>
      <c r="D7" s="88">
        <v>1.0</v>
      </c>
    </row>
    <row r="8" ht="16.5" customHeight="1">
      <c r="A8" s="85">
        <v>6.0</v>
      </c>
      <c r="B8" s="82" t="s">
        <v>108</v>
      </c>
      <c r="C8" s="82" t="s">
        <v>11</v>
      </c>
      <c r="D8" s="86">
        <v>2.0</v>
      </c>
    </row>
    <row r="9" ht="16.5" customHeight="1">
      <c r="A9" s="87">
        <v>7.0</v>
      </c>
      <c r="B9" s="79" t="s">
        <v>109</v>
      </c>
      <c r="C9" s="79" t="s">
        <v>110</v>
      </c>
      <c r="D9" s="88">
        <v>1.0</v>
      </c>
    </row>
    <row r="10" ht="16.5" customHeight="1">
      <c r="A10" s="85">
        <v>8.0</v>
      </c>
      <c r="B10" s="82" t="s">
        <v>111</v>
      </c>
      <c r="C10" s="82" t="s">
        <v>16</v>
      </c>
      <c r="D10" s="86">
        <v>1.0</v>
      </c>
    </row>
    <row r="11" ht="16.5" customHeight="1">
      <c r="A11" s="87">
        <v>9.0</v>
      </c>
      <c r="B11" s="79" t="s">
        <v>19</v>
      </c>
      <c r="C11" s="79" t="s">
        <v>16</v>
      </c>
      <c r="D11" s="88">
        <v>1.0</v>
      </c>
    </row>
    <row r="12" ht="16.5" customHeight="1">
      <c r="A12" s="85">
        <v>10.0</v>
      </c>
      <c r="B12" s="82" t="s">
        <v>112</v>
      </c>
      <c r="C12" s="82" t="s">
        <v>17</v>
      </c>
      <c r="D12" s="86">
        <v>1.0</v>
      </c>
    </row>
    <row r="13" ht="16.5" customHeight="1">
      <c r="A13" s="87">
        <v>11.0</v>
      </c>
      <c r="B13" s="79" t="s">
        <v>113</v>
      </c>
      <c r="C13" s="79" t="s">
        <v>114</v>
      </c>
      <c r="D13" s="88">
        <v>1.0</v>
      </c>
    </row>
    <row r="14" ht="16.5" customHeight="1">
      <c r="A14" s="85">
        <v>12.0</v>
      </c>
      <c r="B14" s="82" t="s">
        <v>115</v>
      </c>
      <c r="C14" s="82" t="s">
        <v>114</v>
      </c>
      <c r="D14" s="86">
        <v>1.0</v>
      </c>
    </row>
    <row r="15" ht="16.5" customHeight="1">
      <c r="A15" s="87">
        <v>13.0</v>
      </c>
      <c r="B15" s="79" t="s">
        <v>116</v>
      </c>
      <c r="C15" s="79" t="s">
        <v>21</v>
      </c>
      <c r="D15" s="88">
        <v>1.0</v>
      </c>
    </row>
    <row r="16" ht="16.5" customHeight="1">
      <c r="A16" s="85">
        <v>14.0</v>
      </c>
      <c r="B16" s="82" t="s">
        <v>117</v>
      </c>
      <c r="C16" s="82" t="s">
        <v>21</v>
      </c>
      <c r="D16" s="86">
        <v>1.0</v>
      </c>
    </row>
    <row r="17" ht="16.5" customHeight="1">
      <c r="A17" s="87">
        <v>15.0</v>
      </c>
      <c r="B17" s="79" t="s">
        <v>118</v>
      </c>
      <c r="C17" s="79" t="s">
        <v>103</v>
      </c>
      <c r="D17" s="88">
        <v>1.0</v>
      </c>
    </row>
    <row r="18" ht="16.5" customHeight="1">
      <c r="A18" s="85">
        <v>16.0</v>
      </c>
      <c r="B18" s="82" t="s">
        <v>119</v>
      </c>
      <c r="C18" s="82" t="s">
        <v>21</v>
      </c>
      <c r="D18" s="86">
        <v>1.0</v>
      </c>
    </row>
    <row r="19" ht="16.5" customHeight="1">
      <c r="A19" s="87">
        <v>17.0</v>
      </c>
      <c r="B19" s="89"/>
      <c r="C19" s="89"/>
      <c r="D19" s="90">
        <v>0.0</v>
      </c>
    </row>
    <row r="20" ht="16.5" customHeight="1">
      <c r="A20" s="85">
        <v>18.0</v>
      </c>
      <c r="B20" s="91"/>
      <c r="C20" s="91"/>
      <c r="D20" s="92">
        <v>0.0</v>
      </c>
    </row>
    <row r="21" ht="16.5" customHeight="1">
      <c r="A21" s="87">
        <v>19.0</v>
      </c>
      <c r="B21" s="89"/>
      <c r="C21" s="89"/>
      <c r="D21" s="90">
        <v>0.0</v>
      </c>
    </row>
    <row r="22" ht="16.5" customHeight="1">
      <c r="A22" s="85">
        <v>20.0</v>
      </c>
      <c r="B22" s="91"/>
      <c r="C22" s="91"/>
      <c r="D22" s="92">
        <v>0.0</v>
      </c>
    </row>
    <row r="23" ht="16.5" customHeight="1">
      <c r="A23" s="87">
        <v>21.0</v>
      </c>
      <c r="B23" s="89"/>
      <c r="C23" s="89"/>
      <c r="D23" s="90">
        <v>0.0</v>
      </c>
    </row>
    <row r="24" ht="16.5" customHeight="1">
      <c r="A24" s="85">
        <v>22.0</v>
      </c>
      <c r="B24" s="91"/>
      <c r="C24" s="91"/>
      <c r="D24" s="92">
        <v>0.0</v>
      </c>
    </row>
    <row r="25" ht="16.5" customHeight="1">
      <c r="A25" s="87">
        <v>23.0</v>
      </c>
      <c r="B25" s="89"/>
      <c r="C25" s="89"/>
      <c r="D25" s="90">
        <v>0.0</v>
      </c>
    </row>
    <row r="26" ht="16.5" customHeight="1">
      <c r="A26" s="85">
        <v>24.0</v>
      </c>
      <c r="B26" s="91"/>
      <c r="C26" s="91"/>
      <c r="D26" s="92">
        <v>0.0</v>
      </c>
    </row>
    <row r="27" ht="16.5" customHeight="1">
      <c r="A27" s="87">
        <v>25.0</v>
      </c>
      <c r="B27" s="89"/>
      <c r="C27" s="89"/>
      <c r="D27" s="90">
        <v>0.0</v>
      </c>
    </row>
    <row r="28" ht="16.5" customHeight="1">
      <c r="A28" s="85">
        <v>26.0</v>
      </c>
      <c r="B28" s="91"/>
      <c r="C28" s="91"/>
      <c r="D28" s="92">
        <v>0.0</v>
      </c>
    </row>
    <row r="29" ht="16.5" customHeight="1">
      <c r="A29" s="87">
        <v>27.0</v>
      </c>
      <c r="B29" s="89"/>
      <c r="C29" s="89"/>
      <c r="D29" s="90">
        <v>0.0</v>
      </c>
    </row>
    <row r="30" ht="16.5" customHeight="1">
      <c r="A30" s="85">
        <v>28.0</v>
      </c>
      <c r="B30" s="91"/>
      <c r="C30" s="91"/>
      <c r="D30" s="92">
        <v>0.0</v>
      </c>
    </row>
    <row r="31" ht="16.5" customHeight="1">
      <c r="A31" s="87">
        <v>29.0</v>
      </c>
      <c r="B31" s="89"/>
      <c r="C31" s="89"/>
      <c r="D31" s="90">
        <v>0.0</v>
      </c>
    </row>
    <row r="32" ht="16.5" customHeight="1">
      <c r="A32" s="85">
        <v>30.0</v>
      </c>
      <c r="B32" s="91"/>
      <c r="C32" s="91"/>
      <c r="D32" s="92">
        <v>0.0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8.0"/>
    <col customWidth="1" min="4" max="4" width="14.0"/>
    <col customWidth="1" min="5" max="5" width="18.0"/>
    <col customWidth="1" min="6" max="26" width="8.71"/>
  </cols>
  <sheetData>
    <row r="1" ht="27.75" customHeight="1">
      <c r="A1" s="93" t="s">
        <v>120</v>
      </c>
      <c r="B1" s="6"/>
      <c r="C1" s="6"/>
      <c r="D1" s="6"/>
      <c r="E1" s="7"/>
    </row>
    <row r="2" ht="18.0" customHeight="1">
      <c r="A2" s="4" t="s">
        <v>98</v>
      </c>
      <c r="B2" s="4" t="s">
        <v>100</v>
      </c>
      <c r="C2" s="4" t="s">
        <v>121</v>
      </c>
      <c r="D2" s="4" t="s">
        <v>122</v>
      </c>
      <c r="E2" s="4" t="s">
        <v>123</v>
      </c>
    </row>
    <row r="3" ht="16.5" customHeight="1">
      <c r="A3" s="94">
        <v>1.0</v>
      </c>
      <c r="B3" s="58" t="s">
        <v>17</v>
      </c>
      <c r="C3" s="95">
        <v>3.0</v>
      </c>
      <c r="D3" s="96" t="s">
        <v>124</v>
      </c>
      <c r="E3" s="59" t="s">
        <v>125</v>
      </c>
    </row>
    <row r="4" ht="16.5" customHeight="1">
      <c r="A4" s="97">
        <v>2.0</v>
      </c>
      <c r="B4" s="61" t="s">
        <v>16</v>
      </c>
      <c r="C4" s="98">
        <v>2.0</v>
      </c>
      <c r="D4" s="99" t="s">
        <v>124</v>
      </c>
      <c r="E4" s="62" t="s">
        <v>125</v>
      </c>
    </row>
    <row r="5" ht="16.5" customHeight="1">
      <c r="A5" s="94">
        <v>3.0</v>
      </c>
      <c r="B5" s="58" t="s">
        <v>24</v>
      </c>
      <c r="C5" s="95">
        <v>2.0</v>
      </c>
      <c r="D5" s="96" t="s">
        <v>126</v>
      </c>
      <c r="E5" s="59" t="s">
        <v>125</v>
      </c>
    </row>
    <row r="6" ht="16.5" customHeight="1">
      <c r="A6" s="97">
        <v>4.0</v>
      </c>
      <c r="B6" s="61" t="s">
        <v>25</v>
      </c>
      <c r="C6" s="98">
        <v>4.0</v>
      </c>
      <c r="D6" s="99" t="s">
        <v>126</v>
      </c>
      <c r="E6" s="62" t="s">
        <v>125</v>
      </c>
    </row>
    <row r="7" ht="16.5" customHeight="1">
      <c r="A7" s="94">
        <v>5.0</v>
      </c>
      <c r="B7" s="58" t="s">
        <v>36</v>
      </c>
      <c r="C7" s="100">
        <v>2.0</v>
      </c>
      <c r="D7" s="96" t="s">
        <v>126</v>
      </c>
      <c r="E7" s="63" t="s">
        <v>127</v>
      </c>
    </row>
    <row r="8" ht="16.5" customHeight="1">
      <c r="A8" s="97">
        <v>6.0</v>
      </c>
      <c r="B8" s="61" t="s">
        <v>40</v>
      </c>
      <c r="C8" s="101">
        <v>1.0</v>
      </c>
      <c r="D8" s="99" t="s">
        <v>126</v>
      </c>
      <c r="E8" s="64" t="s">
        <v>127</v>
      </c>
    </row>
    <row r="9" ht="16.5" customHeight="1">
      <c r="A9" s="94">
        <v>7.0</v>
      </c>
      <c r="B9" s="58" t="s">
        <v>41</v>
      </c>
      <c r="C9" s="100">
        <v>3.0</v>
      </c>
      <c r="D9" s="96" t="s">
        <v>124</v>
      </c>
      <c r="E9" s="63" t="s">
        <v>127</v>
      </c>
    </row>
    <row r="10" ht="16.5" customHeight="1">
      <c r="A10" s="97">
        <v>8.0</v>
      </c>
      <c r="B10" s="61" t="s">
        <v>21</v>
      </c>
      <c r="C10" s="101">
        <v>3.0</v>
      </c>
      <c r="D10" s="99" t="s">
        <v>124</v>
      </c>
      <c r="E10" s="64" t="s">
        <v>127</v>
      </c>
    </row>
    <row r="11" ht="16.5" customHeight="1">
      <c r="A11" s="94">
        <v>9.0</v>
      </c>
      <c r="B11" s="58" t="s">
        <v>11</v>
      </c>
      <c r="C11" s="102">
        <v>1.0</v>
      </c>
      <c r="D11" s="96" t="s">
        <v>128</v>
      </c>
      <c r="E11" s="65" t="s">
        <v>129</v>
      </c>
    </row>
    <row r="12" ht="16.5" customHeight="1">
      <c r="A12" s="97">
        <v>10.0</v>
      </c>
      <c r="B12" s="61" t="s">
        <v>33</v>
      </c>
      <c r="C12" s="103">
        <v>5.0</v>
      </c>
      <c r="D12" s="99" t="s">
        <v>126</v>
      </c>
      <c r="E12" s="66" t="s">
        <v>129</v>
      </c>
    </row>
    <row r="13" ht="16.5" customHeight="1">
      <c r="A13" s="94">
        <v>11.0</v>
      </c>
      <c r="B13" s="58" t="s">
        <v>37</v>
      </c>
      <c r="C13" s="102">
        <v>4.0</v>
      </c>
      <c r="D13" s="96" t="s">
        <v>126</v>
      </c>
      <c r="E13" s="65" t="s">
        <v>129</v>
      </c>
    </row>
    <row r="14" ht="16.5" customHeight="1">
      <c r="A14" s="97">
        <v>12.0</v>
      </c>
      <c r="B14" s="61" t="s">
        <v>130</v>
      </c>
      <c r="C14" s="103">
        <v>5.0</v>
      </c>
      <c r="D14" s="99" t="s">
        <v>126</v>
      </c>
      <c r="E14" s="66" t="s">
        <v>129</v>
      </c>
    </row>
    <row r="15" ht="16.5" customHeight="1">
      <c r="A15" s="94">
        <v>13.0</v>
      </c>
      <c r="B15" s="58" t="s">
        <v>50</v>
      </c>
      <c r="C15" s="104">
        <v>6.0</v>
      </c>
      <c r="D15" s="96" t="s">
        <v>124</v>
      </c>
      <c r="E15" s="67" t="s">
        <v>131</v>
      </c>
    </row>
    <row r="16" ht="16.5" customHeight="1">
      <c r="A16" s="97">
        <v>14.0</v>
      </c>
      <c r="B16" s="61" t="s">
        <v>13</v>
      </c>
      <c r="C16" s="105">
        <v>3.0</v>
      </c>
      <c r="D16" s="99" t="s">
        <v>126</v>
      </c>
      <c r="E16" s="68" t="s">
        <v>131</v>
      </c>
    </row>
    <row r="17" ht="16.5" customHeight="1">
      <c r="A17" s="94">
        <v>15.0</v>
      </c>
      <c r="B17" s="58" t="s">
        <v>27</v>
      </c>
      <c r="C17" s="104">
        <v>4.0</v>
      </c>
      <c r="D17" s="96" t="s">
        <v>126</v>
      </c>
      <c r="E17" s="67" t="s">
        <v>131</v>
      </c>
    </row>
    <row r="18" ht="16.5" customHeight="1">
      <c r="A18" s="97">
        <v>16.0</v>
      </c>
      <c r="B18" s="61" t="s">
        <v>34</v>
      </c>
      <c r="C18" s="105">
        <v>6.0</v>
      </c>
      <c r="D18" s="99" t="s">
        <v>128</v>
      </c>
      <c r="E18" s="68" t="s">
        <v>131</v>
      </c>
    </row>
    <row r="19" ht="16.5" customHeight="1">
      <c r="A19" s="94">
        <v>17.0</v>
      </c>
      <c r="B19" s="58" t="s">
        <v>31</v>
      </c>
      <c r="C19" s="106">
        <v>6.0</v>
      </c>
      <c r="D19" s="96" t="s">
        <v>132</v>
      </c>
      <c r="E19" s="69" t="s">
        <v>133</v>
      </c>
    </row>
    <row r="20" ht="16.5" customHeight="1">
      <c r="A20" s="97">
        <v>18.0</v>
      </c>
      <c r="B20" s="61" t="s">
        <v>49</v>
      </c>
      <c r="C20" s="107">
        <v>5.0</v>
      </c>
      <c r="D20" s="99" t="s">
        <v>126</v>
      </c>
      <c r="E20" s="70" t="s">
        <v>133</v>
      </c>
    </row>
    <row r="21" ht="16.5" customHeight="1">
      <c r="A21" s="94">
        <v>19.0</v>
      </c>
      <c r="B21" s="58" t="s">
        <v>30</v>
      </c>
      <c r="C21" s="106">
        <v>1.0</v>
      </c>
      <c r="D21" s="96" t="s">
        <v>128</v>
      </c>
      <c r="E21" s="69" t="s">
        <v>133</v>
      </c>
    </row>
    <row r="22" ht="16.5" customHeight="1">
      <c r="A22" s="97">
        <v>20.0</v>
      </c>
      <c r="B22" s="61" t="s">
        <v>44</v>
      </c>
      <c r="C22" s="107">
        <v>4.0</v>
      </c>
      <c r="D22" s="99" t="s">
        <v>134</v>
      </c>
      <c r="E22" s="70" t="s">
        <v>133</v>
      </c>
    </row>
    <row r="23" ht="16.5" customHeight="1">
      <c r="A23" s="94">
        <v>21.0</v>
      </c>
      <c r="B23" s="58" t="s">
        <v>47</v>
      </c>
      <c r="C23" s="108">
        <v>6.0</v>
      </c>
      <c r="D23" s="96" t="s">
        <v>132</v>
      </c>
      <c r="E23" s="71" t="s">
        <v>135</v>
      </c>
    </row>
    <row r="24" ht="16.5" customHeight="1">
      <c r="A24" s="97">
        <v>22.0</v>
      </c>
      <c r="B24" s="61" t="s">
        <v>20</v>
      </c>
      <c r="C24" s="109">
        <v>1.0</v>
      </c>
      <c r="D24" s="99" t="s">
        <v>124</v>
      </c>
      <c r="E24" s="72" t="s">
        <v>135</v>
      </c>
    </row>
    <row r="25" ht="16.5" customHeight="1">
      <c r="A25" s="94">
        <v>23.0</v>
      </c>
      <c r="B25" s="58" t="s">
        <v>46</v>
      </c>
      <c r="C25" s="108">
        <v>5.0</v>
      </c>
      <c r="D25" s="96" t="s">
        <v>126</v>
      </c>
      <c r="E25" s="71" t="s">
        <v>135</v>
      </c>
    </row>
    <row r="26" ht="16.5" customHeight="1">
      <c r="A26" s="97">
        <v>24.0</v>
      </c>
      <c r="B26" s="61" t="s">
        <v>43</v>
      </c>
      <c r="C26" s="109">
        <v>2.0</v>
      </c>
      <c r="D26" s="99" t="s">
        <v>124</v>
      </c>
      <c r="E26" s="72" t="s">
        <v>135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1.57"/>
  </cols>
  <sheetData>
    <row r="1">
      <c r="A1" s="110" t="s">
        <v>87</v>
      </c>
      <c r="B1" s="110" t="s">
        <v>136</v>
      </c>
      <c r="C1" s="110" t="s">
        <v>137</v>
      </c>
      <c r="D1" s="111" t="s">
        <v>4</v>
      </c>
    </row>
    <row r="2">
      <c r="A2" s="112" t="s">
        <v>21</v>
      </c>
      <c r="B2" s="112" t="s">
        <v>138</v>
      </c>
      <c r="C2" s="112" t="s">
        <v>139</v>
      </c>
    </row>
    <row r="3">
      <c r="A3" s="113"/>
      <c r="B3" s="114" t="s">
        <v>140</v>
      </c>
      <c r="C3" s="113"/>
      <c r="D3" s="2" t="s">
        <v>141</v>
      </c>
    </row>
    <row r="4">
      <c r="A4" s="115"/>
      <c r="B4" s="116" t="s">
        <v>142</v>
      </c>
      <c r="C4" s="115"/>
      <c r="D4" s="2">
        <v>2.0</v>
      </c>
    </row>
    <row r="5">
      <c r="A5" s="113"/>
      <c r="B5" s="114" t="s">
        <v>143</v>
      </c>
      <c r="C5" s="113"/>
      <c r="D5" s="2" t="s">
        <v>141</v>
      </c>
    </row>
    <row r="6">
      <c r="A6" s="115"/>
      <c r="B6" s="116" t="s">
        <v>144</v>
      </c>
      <c r="C6" s="115"/>
      <c r="D6" s="2">
        <v>3.0</v>
      </c>
    </row>
    <row r="7">
      <c r="A7" s="113"/>
      <c r="B7" s="114" t="s">
        <v>145</v>
      </c>
      <c r="C7" s="113"/>
      <c r="D7" s="2" t="s">
        <v>141</v>
      </c>
    </row>
    <row r="8">
      <c r="A8" s="115"/>
      <c r="B8" s="116" t="s">
        <v>146</v>
      </c>
      <c r="C8" s="115"/>
      <c r="D8" s="2" t="s">
        <v>141</v>
      </c>
    </row>
    <row r="9">
      <c r="A9" s="113"/>
      <c r="B9" s="114" t="s">
        <v>147</v>
      </c>
      <c r="C9" s="113"/>
    </row>
    <row r="10">
      <c r="A10" s="115"/>
      <c r="B10" s="116" t="s">
        <v>148</v>
      </c>
      <c r="C10" s="115"/>
    </row>
    <row r="11">
      <c r="A11" s="113"/>
      <c r="B11" s="114" t="s">
        <v>149</v>
      </c>
      <c r="C11" s="113"/>
    </row>
    <row r="12">
      <c r="A12" s="115"/>
      <c r="B12" s="116" t="s">
        <v>150</v>
      </c>
      <c r="C12" s="115"/>
    </row>
    <row r="13">
      <c r="A13" s="115"/>
      <c r="B13" s="116" t="s">
        <v>151</v>
      </c>
      <c r="C13" s="112" t="s">
        <v>139</v>
      </c>
    </row>
    <row r="14">
      <c r="A14" s="115"/>
      <c r="B14" s="116" t="s">
        <v>152</v>
      </c>
      <c r="C14" s="115"/>
    </row>
    <row r="15">
      <c r="A15" s="115"/>
      <c r="B15" s="116" t="s">
        <v>153</v>
      </c>
      <c r="C15" s="115"/>
    </row>
    <row r="16">
      <c r="A16" s="115"/>
      <c r="B16" s="116" t="s">
        <v>154</v>
      </c>
      <c r="C16" s="115"/>
      <c r="D16" s="2">
        <v>1.0</v>
      </c>
    </row>
    <row r="17">
      <c r="A17" s="115"/>
      <c r="B17" s="116" t="s">
        <v>155</v>
      </c>
      <c r="C17" s="112" t="s">
        <v>139</v>
      </c>
    </row>
    <row r="18">
      <c r="A18" s="113"/>
      <c r="B18" s="117" t="s">
        <v>156</v>
      </c>
      <c r="C18" s="113"/>
      <c r="D18" s="2">
        <v>1.0</v>
      </c>
    </row>
    <row r="19">
      <c r="A19" s="112" t="s">
        <v>16</v>
      </c>
      <c r="B19" s="112" t="s">
        <v>157</v>
      </c>
      <c r="C19" s="112" t="s">
        <v>139</v>
      </c>
    </row>
    <row r="20">
      <c r="A20" s="112"/>
      <c r="B20" s="112" t="s">
        <v>158</v>
      </c>
      <c r="C20" s="112" t="s">
        <v>139</v>
      </c>
    </row>
    <row r="21">
      <c r="A21" s="113"/>
      <c r="B21" s="114" t="s">
        <v>159</v>
      </c>
      <c r="C21" s="113"/>
    </row>
    <row r="22">
      <c r="A22" s="115"/>
      <c r="B22" s="116" t="s">
        <v>160</v>
      </c>
      <c r="C22" s="115"/>
    </row>
    <row r="23">
      <c r="A23" s="113"/>
      <c r="B23" s="114" t="s">
        <v>161</v>
      </c>
      <c r="C23" s="113"/>
      <c r="D23" s="2">
        <v>1.0</v>
      </c>
    </row>
    <row r="24">
      <c r="A24" s="115"/>
      <c r="B24" s="116" t="s">
        <v>162</v>
      </c>
      <c r="C24" s="115"/>
    </row>
    <row r="25">
      <c r="A25" s="113"/>
      <c r="B25" s="114" t="s">
        <v>163</v>
      </c>
      <c r="C25" s="113"/>
      <c r="D25" s="2">
        <v>1.0</v>
      </c>
    </row>
    <row r="26">
      <c r="A26" s="115"/>
      <c r="B26" s="116" t="s">
        <v>164</v>
      </c>
      <c r="C26" s="115"/>
      <c r="D26" s="2"/>
    </row>
    <row r="27">
      <c r="A27" s="113"/>
      <c r="B27" s="114" t="s">
        <v>165</v>
      </c>
      <c r="C27" s="113"/>
    </row>
    <row r="28">
      <c r="A28" s="115"/>
      <c r="B28" s="116" t="s">
        <v>166</v>
      </c>
      <c r="C28" s="115"/>
      <c r="D28" s="2">
        <v>1.0</v>
      </c>
    </row>
    <row r="29">
      <c r="A29" s="113"/>
      <c r="B29" s="114" t="s">
        <v>167</v>
      </c>
      <c r="C29" s="113"/>
    </row>
    <row r="30">
      <c r="A30" s="115"/>
      <c r="B30" s="116" t="s">
        <v>168</v>
      </c>
      <c r="C30" s="115"/>
    </row>
    <row r="31">
      <c r="A31" s="113"/>
      <c r="B31" s="114" t="s">
        <v>169</v>
      </c>
      <c r="C31" s="113"/>
    </row>
    <row r="32">
      <c r="A32" s="115"/>
      <c r="B32" s="116" t="s">
        <v>170</v>
      </c>
      <c r="C32" s="115"/>
    </row>
    <row r="33">
      <c r="A33" s="112" t="s">
        <v>41</v>
      </c>
      <c r="B33" s="112" t="s">
        <v>171</v>
      </c>
      <c r="C33" s="112" t="s">
        <v>139</v>
      </c>
    </row>
    <row r="34">
      <c r="A34" s="112"/>
      <c r="B34" s="112" t="s">
        <v>172</v>
      </c>
      <c r="C34" s="112" t="s">
        <v>139</v>
      </c>
    </row>
    <row r="35">
      <c r="A35" s="113"/>
      <c r="B35" s="114" t="s">
        <v>173</v>
      </c>
      <c r="C35" s="113"/>
      <c r="D35" s="2">
        <v>1.0</v>
      </c>
    </row>
    <row r="36">
      <c r="A36" s="115"/>
      <c r="B36" s="116" t="s">
        <v>174</v>
      </c>
      <c r="C36" s="115"/>
    </row>
    <row r="37">
      <c r="A37" s="113"/>
      <c r="B37" s="114" t="s">
        <v>175</v>
      </c>
      <c r="C37" s="113"/>
    </row>
    <row r="38">
      <c r="A38" s="115"/>
      <c r="B38" s="116" t="s">
        <v>176</v>
      </c>
      <c r="C38" s="115"/>
    </row>
    <row r="39">
      <c r="A39" s="113"/>
      <c r="B39" s="114" t="s">
        <v>177</v>
      </c>
      <c r="C39" s="113"/>
    </row>
    <row r="40">
      <c r="A40" s="115"/>
      <c r="B40" s="116" t="s">
        <v>178</v>
      </c>
      <c r="C40" s="115"/>
    </row>
    <row r="41">
      <c r="A41" s="113"/>
      <c r="B41" s="114" t="s">
        <v>179</v>
      </c>
      <c r="C41" s="113"/>
    </row>
    <row r="42">
      <c r="A42" s="115"/>
      <c r="B42" s="116" t="s">
        <v>180</v>
      </c>
      <c r="C42" s="115"/>
    </row>
    <row r="43">
      <c r="A43" s="113"/>
      <c r="B43" s="114" t="s">
        <v>181</v>
      </c>
      <c r="C43" s="113"/>
    </row>
    <row r="44">
      <c r="A44" s="115"/>
      <c r="B44" s="116" t="s">
        <v>182</v>
      </c>
      <c r="C44" s="115"/>
    </row>
    <row r="45">
      <c r="A45" s="113"/>
      <c r="B45" s="114" t="s">
        <v>183</v>
      </c>
      <c r="C45" s="113"/>
    </row>
    <row r="46">
      <c r="A46" s="115"/>
      <c r="B46" s="116" t="s">
        <v>184</v>
      </c>
      <c r="C46" s="115"/>
    </row>
    <row r="47">
      <c r="A47" s="113"/>
      <c r="B47" s="114" t="s">
        <v>185</v>
      </c>
      <c r="C47" s="113"/>
      <c r="D47" s="2">
        <v>1.0</v>
      </c>
    </row>
    <row r="48">
      <c r="A48" s="115"/>
      <c r="B48" s="116" t="s">
        <v>186</v>
      </c>
      <c r="C48" s="115"/>
    </row>
    <row r="49">
      <c r="A49" s="113"/>
      <c r="B49" s="114" t="s">
        <v>187</v>
      </c>
      <c r="C49" s="113"/>
    </row>
    <row r="50">
      <c r="A50" s="115"/>
      <c r="B50" s="116" t="s">
        <v>188</v>
      </c>
      <c r="C50" s="115"/>
    </row>
    <row r="51">
      <c r="A51" s="113"/>
      <c r="B51" s="114" t="s">
        <v>189</v>
      </c>
      <c r="C51" s="113"/>
    </row>
    <row r="52">
      <c r="A52" s="115"/>
      <c r="B52" s="116" t="s">
        <v>190</v>
      </c>
      <c r="C52" s="115"/>
    </row>
    <row r="53">
      <c r="A53" s="113"/>
      <c r="B53" s="114" t="s">
        <v>191</v>
      </c>
      <c r="C53" s="113"/>
    </row>
    <row r="54">
      <c r="A54" s="113"/>
      <c r="B54" s="117" t="s">
        <v>192</v>
      </c>
      <c r="C54" s="113"/>
    </row>
    <row r="55">
      <c r="A55" s="118" t="s">
        <v>46</v>
      </c>
      <c r="B55" s="118" t="s">
        <v>193</v>
      </c>
      <c r="C55" s="118" t="s">
        <v>139</v>
      </c>
      <c r="D55" s="119"/>
    </row>
    <row r="56">
      <c r="A56" s="120"/>
      <c r="B56" s="118" t="s">
        <v>194</v>
      </c>
      <c r="C56" s="118" t="s">
        <v>139</v>
      </c>
      <c r="D56" s="119"/>
    </row>
    <row r="57">
      <c r="A57" s="113"/>
      <c r="B57" s="114" t="s">
        <v>195</v>
      </c>
      <c r="C57" s="113"/>
    </row>
    <row r="58">
      <c r="A58" s="115"/>
      <c r="B58" s="116" t="s">
        <v>196</v>
      </c>
      <c r="C58" s="115"/>
    </row>
    <row r="59">
      <c r="A59" s="113"/>
      <c r="B59" s="114" t="s">
        <v>197</v>
      </c>
      <c r="C59" s="113"/>
    </row>
    <row r="60">
      <c r="A60" s="115"/>
      <c r="B60" s="116" t="s">
        <v>198</v>
      </c>
      <c r="C60" s="115"/>
    </row>
    <row r="61">
      <c r="A61" s="113"/>
      <c r="B61" s="114" t="s">
        <v>199</v>
      </c>
      <c r="C61" s="113"/>
    </row>
    <row r="62">
      <c r="A62" s="115"/>
      <c r="B62" s="116" t="s">
        <v>200</v>
      </c>
      <c r="C62" s="115"/>
    </row>
    <row r="63">
      <c r="A63" s="113"/>
      <c r="B63" s="114" t="s">
        <v>201</v>
      </c>
      <c r="C63" s="113"/>
    </row>
    <row r="64">
      <c r="A64" s="115"/>
      <c r="B64" s="116" t="s">
        <v>202</v>
      </c>
      <c r="C64" s="115"/>
    </row>
    <row r="65">
      <c r="A65" s="113"/>
      <c r="B65" s="114" t="s">
        <v>203</v>
      </c>
      <c r="C65" s="113"/>
    </row>
    <row r="66">
      <c r="A66" s="115"/>
      <c r="B66" s="116" t="s">
        <v>204</v>
      </c>
      <c r="C66" s="115"/>
    </row>
    <row r="67">
      <c r="A67" s="113"/>
      <c r="B67" s="114" t="s">
        <v>205</v>
      </c>
      <c r="C67" s="113"/>
    </row>
    <row r="68">
      <c r="A68" s="115"/>
      <c r="B68" s="116" t="s">
        <v>206</v>
      </c>
      <c r="C68" s="115"/>
    </row>
    <row r="69">
      <c r="A69" s="113"/>
      <c r="B69" s="114" t="s">
        <v>207</v>
      </c>
      <c r="C69" s="113"/>
    </row>
    <row r="70">
      <c r="A70" s="113"/>
      <c r="B70" s="113"/>
      <c r="C70" s="113"/>
    </row>
    <row r="71">
      <c r="A71" s="112" t="s">
        <v>37</v>
      </c>
      <c r="B71" s="112" t="s">
        <v>208</v>
      </c>
      <c r="C71" s="112" t="s">
        <v>139</v>
      </c>
    </row>
    <row r="72">
      <c r="A72" s="115"/>
      <c r="B72" s="116" t="s">
        <v>209</v>
      </c>
      <c r="C72" s="115"/>
    </row>
    <row r="73">
      <c r="A73" s="113"/>
      <c r="B73" s="114" t="s">
        <v>210</v>
      </c>
      <c r="C73" s="113"/>
    </row>
    <row r="74">
      <c r="A74" s="115"/>
      <c r="B74" s="116" t="s">
        <v>211</v>
      </c>
      <c r="C74" s="115"/>
    </row>
    <row r="75">
      <c r="A75" s="113"/>
      <c r="B75" s="114" t="s">
        <v>212</v>
      </c>
      <c r="C75" s="113"/>
    </row>
    <row r="76">
      <c r="A76" s="115"/>
      <c r="B76" s="116" t="s">
        <v>213</v>
      </c>
      <c r="C76" s="115"/>
      <c r="D76" s="2">
        <v>1.0</v>
      </c>
    </row>
    <row r="77">
      <c r="A77" s="113"/>
      <c r="B77" s="114" t="s">
        <v>214</v>
      </c>
      <c r="C77" s="113"/>
    </row>
    <row r="78">
      <c r="A78" s="113"/>
      <c r="B78" s="114" t="s">
        <v>215</v>
      </c>
      <c r="C78" s="113"/>
    </row>
    <row r="79">
      <c r="A79" s="113"/>
      <c r="B79" s="114" t="s">
        <v>216</v>
      </c>
      <c r="C79" s="113"/>
    </row>
    <row r="80">
      <c r="A80" s="113"/>
      <c r="B80" s="114" t="s">
        <v>217</v>
      </c>
      <c r="C80" s="113"/>
    </row>
    <row r="81">
      <c r="A81" s="113"/>
      <c r="B81" s="114" t="s">
        <v>218</v>
      </c>
      <c r="C81" s="113"/>
      <c r="D81" s="2">
        <v>1.0</v>
      </c>
    </row>
    <row r="82">
      <c r="A82" s="115"/>
      <c r="B82" s="116" t="s">
        <v>219</v>
      </c>
      <c r="C82" s="115"/>
    </row>
    <row r="83">
      <c r="A83" s="113"/>
      <c r="B83" s="114" t="s">
        <v>220</v>
      </c>
      <c r="C83" s="113"/>
    </row>
    <row r="84">
      <c r="A84" s="113"/>
      <c r="B84" s="117" t="s">
        <v>221</v>
      </c>
      <c r="C84" s="113"/>
      <c r="D84" s="2">
        <v>1.0</v>
      </c>
    </row>
    <row r="85">
      <c r="A85" s="112" t="s">
        <v>27</v>
      </c>
      <c r="B85" s="112" t="s">
        <v>222</v>
      </c>
      <c r="C85" s="112" t="s">
        <v>139</v>
      </c>
    </row>
    <row r="86">
      <c r="A86" s="115"/>
      <c r="B86" s="116" t="s">
        <v>223</v>
      </c>
      <c r="C86" s="115"/>
    </row>
    <row r="87">
      <c r="A87" s="113"/>
      <c r="B87" s="114" t="s">
        <v>224</v>
      </c>
      <c r="C87" s="113"/>
    </row>
    <row r="88">
      <c r="A88" s="115"/>
      <c r="B88" s="116" t="s">
        <v>225</v>
      </c>
      <c r="C88" s="115"/>
    </row>
    <row r="89">
      <c r="A89" s="113"/>
      <c r="B89" s="114" t="s">
        <v>226</v>
      </c>
      <c r="C89" s="113"/>
      <c r="D89" s="2">
        <v>1.0</v>
      </c>
    </row>
    <row r="90">
      <c r="A90" s="115"/>
      <c r="B90" s="116" t="s">
        <v>227</v>
      </c>
      <c r="C90" s="115"/>
    </row>
    <row r="91">
      <c r="A91" s="113"/>
      <c r="B91" s="114" t="s">
        <v>228</v>
      </c>
      <c r="C91" s="113"/>
      <c r="D91" s="2">
        <v>1.0</v>
      </c>
    </row>
    <row r="92">
      <c r="A92" s="115"/>
      <c r="B92" s="116" t="s">
        <v>229</v>
      </c>
      <c r="C92" s="115"/>
    </row>
    <row r="93">
      <c r="A93" s="113"/>
      <c r="B93" s="114" t="s">
        <v>230</v>
      </c>
      <c r="C93" s="113"/>
    </row>
    <row r="94">
      <c r="A94" s="115"/>
      <c r="B94" s="116" t="s">
        <v>231</v>
      </c>
      <c r="C94" s="115"/>
    </row>
    <row r="95">
      <c r="A95" s="115"/>
      <c r="B95" s="116" t="s">
        <v>232</v>
      </c>
      <c r="C95" s="115"/>
    </row>
    <row r="96">
      <c r="A96" s="115"/>
      <c r="B96" s="116" t="s">
        <v>233</v>
      </c>
      <c r="C96" s="115"/>
    </row>
    <row r="97">
      <c r="A97" s="115"/>
      <c r="B97" s="116" t="s">
        <v>234</v>
      </c>
      <c r="C97" s="115"/>
    </row>
    <row r="98">
      <c r="A98" s="115"/>
      <c r="B98" s="116" t="s">
        <v>235</v>
      </c>
      <c r="C98" s="115"/>
    </row>
    <row r="99">
      <c r="A99" s="115"/>
      <c r="B99" s="116" t="s">
        <v>236</v>
      </c>
      <c r="C99" s="115"/>
    </row>
    <row r="100">
      <c r="A100" s="115"/>
      <c r="B100" s="116" t="s">
        <v>237</v>
      </c>
      <c r="C100" s="115"/>
    </row>
    <row r="101">
      <c r="A101" s="113"/>
      <c r="B101" s="117" t="s">
        <v>238</v>
      </c>
      <c r="C101" s="113"/>
    </row>
    <row r="102">
      <c r="A102" s="113"/>
      <c r="B102" s="117" t="s">
        <v>239</v>
      </c>
      <c r="C102" s="113"/>
    </row>
    <row r="103">
      <c r="A103" s="112" t="s">
        <v>33</v>
      </c>
      <c r="B103" s="112" t="s">
        <v>240</v>
      </c>
      <c r="C103" s="112" t="s">
        <v>139</v>
      </c>
    </row>
    <row r="104">
      <c r="A104" s="113"/>
      <c r="B104" s="114" t="s">
        <v>241</v>
      </c>
      <c r="C104" s="113"/>
      <c r="D104" s="2">
        <v>1.0</v>
      </c>
    </row>
    <row r="105">
      <c r="A105" s="115"/>
      <c r="B105" s="116" t="s">
        <v>242</v>
      </c>
      <c r="C105" s="115"/>
    </row>
    <row r="106">
      <c r="A106" s="113"/>
      <c r="B106" s="114" t="s">
        <v>243</v>
      </c>
      <c r="C106" s="113"/>
      <c r="D106" s="2">
        <v>1.0</v>
      </c>
    </row>
    <row r="107">
      <c r="A107" s="115"/>
      <c r="B107" s="116" t="s">
        <v>244</v>
      </c>
      <c r="C107" s="115"/>
    </row>
    <row r="108">
      <c r="A108" s="113"/>
      <c r="B108" s="114" t="s">
        <v>245</v>
      </c>
      <c r="C108" s="113"/>
      <c r="D108" s="2">
        <v>2.0</v>
      </c>
    </row>
    <row r="109">
      <c r="A109" s="115"/>
      <c r="B109" s="116" t="s">
        <v>246</v>
      </c>
      <c r="C109" s="115"/>
      <c r="D109" s="2">
        <v>1.0</v>
      </c>
    </row>
    <row r="110">
      <c r="A110" s="113"/>
      <c r="B110" s="114" t="s">
        <v>247</v>
      </c>
      <c r="C110" s="113"/>
      <c r="D110" s="2">
        <v>1.0</v>
      </c>
    </row>
    <row r="111">
      <c r="A111" s="115"/>
      <c r="B111" s="116" t="s">
        <v>248</v>
      </c>
      <c r="C111" s="115"/>
    </row>
    <row r="112">
      <c r="A112" s="115"/>
      <c r="B112" s="116" t="s">
        <v>249</v>
      </c>
      <c r="C112" s="115"/>
    </row>
    <row r="113">
      <c r="A113" s="113"/>
      <c r="B113" s="114" t="s">
        <v>250</v>
      </c>
      <c r="C113" s="113"/>
      <c r="D113" s="2">
        <v>5.0</v>
      </c>
    </row>
    <row r="114">
      <c r="A114" s="113"/>
      <c r="B114" s="117" t="s">
        <v>251</v>
      </c>
      <c r="C114" s="113"/>
    </row>
    <row r="115">
      <c r="A115" s="112" t="s">
        <v>30</v>
      </c>
      <c r="B115" s="112" t="s">
        <v>252</v>
      </c>
      <c r="C115" s="112" t="s">
        <v>139</v>
      </c>
    </row>
    <row r="116">
      <c r="A116" s="115"/>
      <c r="B116" s="116" t="s">
        <v>253</v>
      </c>
      <c r="C116" s="115"/>
    </row>
    <row r="117">
      <c r="A117" s="113"/>
      <c r="B117" s="114" t="s">
        <v>254</v>
      </c>
      <c r="C117" s="113"/>
      <c r="D117" s="2">
        <v>2.0</v>
      </c>
    </row>
    <row r="118">
      <c r="A118" s="115"/>
      <c r="B118" s="116" t="s">
        <v>255</v>
      </c>
      <c r="C118" s="115"/>
      <c r="D118" s="2">
        <v>1.0</v>
      </c>
    </row>
    <row r="119">
      <c r="A119" s="113"/>
      <c r="B119" s="114" t="s">
        <v>256</v>
      </c>
      <c r="C119" s="113"/>
    </row>
    <row r="120">
      <c r="A120" s="115"/>
      <c r="B120" s="116" t="s">
        <v>257</v>
      </c>
      <c r="C120" s="115"/>
    </row>
    <row r="121">
      <c r="A121" s="113"/>
      <c r="B121" s="114" t="s">
        <v>258</v>
      </c>
      <c r="C121" s="113"/>
    </row>
    <row r="122">
      <c r="A122" s="115"/>
      <c r="B122" s="116" t="s">
        <v>259</v>
      </c>
      <c r="C122" s="115"/>
    </row>
    <row r="123">
      <c r="A123" s="113"/>
      <c r="B123" s="114" t="s">
        <v>260</v>
      </c>
      <c r="C123" s="113"/>
    </row>
    <row r="124">
      <c r="A124" s="115"/>
      <c r="B124" s="116" t="s">
        <v>261</v>
      </c>
      <c r="C124" s="115"/>
    </row>
    <row r="125">
      <c r="A125" s="115"/>
      <c r="B125" s="116" t="s">
        <v>262</v>
      </c>
      <c r="C125" s="115"/>
      <c r="D125" s="2">
        <v>2.0</v>
      </c>
    </row>
    <row r="126">
      <c r="A126" s="113"/>
      <c r="B126" s="114" t="s">
        <v>263</v>
      </c>
      <c r="C126" s="113"/>
    </row>
    <row r="127">
      <c r="A127" s="113"/>
      <c r="B127" s="114" t="s">
        <v>264</v>
      </c>
      <c r="C127" s="113"/>
    </row>
    <row r="128">
      <c r="A128" s="113"/>
      <c r="B128" s="114" t="s">
        <v>265</v>
      </c>
      <c r="C128" s="113"/>
    </row>
    <row r="129">
      <c r="A129" s="115"/>
      <c r="B129" s="116" t="s">
        <v>266</v>
      </c>
      <c r="C129" s="115"/>
    </row>
    <row r="130">
      <c r="A130" s="115"/>
      <c r="B130" s="116" t="s">
        <v>267</v>
      </c>
      <c r="C130" s="115"/>
    </row>
    <row r="131">
      <c r="A131" s="115"/>
      <c r="B131" s="116" t="s">
        <v>268</v>
      </c>
      <c r="C131" s="115"/>
    </row>
    <row r="132">
      <c r="A132" s="115"/>
      <c r="B132" s="116" t="s">
        <v>269</v>
      </c>
      <c r="C132" s="115"/>
    </row>
    <row r="133">
      <c r="A133" s="113"/>
      <c r="B133" s="117" t="s">
        <v>270</v>
      </c>
      <c r="C133" s="113"/>
    </row>
    <row r="134">
      <c r="A134" s="112" t="s">
        <v>36</v>
      </c>
      <c r="B134" s="112" t="s">
        <v>271</v>
      </c>
      <c r="C134" s="112" t="s">
        <v>139</v>
      </c>
    </row>
    <row r="135">
      <c r="A135" s="113"/>
      <c r="B135" s="114" t="s">
        <v>272</v>
      </c>
      <c r="C135" s="113"/>
    </row>
    <row r="136">
      <c r="A136" s="115"/>
      <c r="B136" s="116" t="s">
        <v>273</v>
      </c>
      <c r="C136" s="115"/>
    </row>
    <row r="137">
      <c r="A137" s="113"/>
      <c r="B137" s="114" t="s">
        <v>274</v>
      </c>
      <c r="C137" s="113"/>
    </row>
    <row r="138">
      <c r="A138" s="115"/>
      <c r="B138" s="116" t="s">
        <v>275</v>
      </c>
      <c r="C138" s="115"/>
    </row>
    <row r="139">
      <c r="A139" s="113"/>
      <c r="B139" s="114" t="s">
        <v>276</v>
      </c>
      <c r="C139" s="113"/>
    </row>
    <row r="140">
      <c r="A140" s="113"/>
      <c r="B140" s="114" t="s">
        <v>277</v>
      </c>
      <c r="C140" s="113"/>
    </row>
    <row r="141">
      <c r="A141" s="115"/>
      <c r="B141" s="116" t="s">
        <v>278</v>
      </c>
      <c r="C141" s="115"/>
      <c r="D141" s="2">
        <v>1.0</v>
      </c>
    </row>
    <row r="142">
      <c r="A142" s="113"/>
      <c r="B142" s="114" t="s">
        <v>279</v>
      </c>
      <c r="C142" s="113"/>
      <c r="D142" s="2">
        <v>1.0</v>
      </c>
    </row>
    <row r="143">
      <c r="A143" s="115"/>
      <c r="B143" s="116" t="s">
        <v>280</v>
      </c>
      <c r="C143" s="115"/>
    </row>
    <row r="144">
      <c r="A144" s="113"/>
      <c r="B144" s="114" t="s">
        <v>281</v>
      </c>
      <c r="C144" s="113"/>
    </row>
    <row r="145">
      <c r="A145" s="115"/>
      <c r="B145" s="116" t="s">
        <v>282</v>
      </c>
      <c r="C145" s="115"/>
    </row>
    <row r="146">
      <c r="A146" s="115"/>
      <c r="B146" s="116" t="s">
        <v>283</v>
      </c>
      <c r="C146" s="115"/>
    </row>
    <row r="147">
      <c r="A147" s="113"/>
      <c r="B147" s="114" t="s">
        <v>284</v>
      </c>
      <c r="C147" s="113"/>
    </row>
    <row r="148">
      <c r="A148" s="113"/>
      <c r="B148" s="114" t="s">
        <v>285</v>
      </c>
      <c r="C148" s="113"/>
    </row>
    <row r="149">
      <c r="A149" s="115"/>
      <c r="B149" s="116" t="s">
        <v>286</v>
      </c>
      <c r="C149" s="115"/>
    </row>
    <row r="150">
      <c r="A150" s="113"/>
      <c r="B150" s="117" t="s">
        <v>287</v>
      </c>
      <c r="C150" s="113"/>
    </row>
    <row r="151">
      <c r="A151" s="112" t="s">
        <v>50</v>
      </c>
      <c r="B151" s="112" t="s">
        <v>288</v>
      </c>
      <c r="C151" s="112" t="s">
        <v>139</v>
      </c>
    </row>
    <row r="152">
      <c r="A152" s="113"/>
      <c r="B152" s="114" t="s">
        <v>289</v>
      </c>
      <c r="C152" s="113"/>
    </row>
    <row r="153">
      <c r="A153" s="115"/>
      <c r="B153" s="116" t="s">
        <v>290</v>
      </c>
      <c r="C153" s="115"/>
    </row>
    <row r="154">
      <c r="A154" s="113"/>
      <c r="B154" s="114" t="s">
        <v>291</v>
      </c>
      <c r="C154" s="113"/>
    </row>
    <row r="155">
      <c r="A155" s="115"/>
      <c r="B155" s="116" t="s">
        <v>292</v>
      </c>
      <c r="C155" s="115"/>
    </row>
    <row r="156">
      <c r="A156" s="113"/>
      <c r="B156" s="114" t="s">
        <v>293</v>
      </c>
      <c r="C156" s="113"/>
    </row>
    <row r="157">
      <c r="A157" s="115"/>
      <c r="B157" s="116" t="s">
        <v>294</v>
      </c>
      <c r="C157" s="115"/>
    </row>
    <row r="158">
      <c r="A158" s="113"/>
      <c r="B158" s="114" t="s">
        <v>295</v>
      </c>
      <c r="C158" s="113"/>
    </row>
    <row r="159">
      <c r="A159" s="115"/>
      <c r="B159" s="116" t="s">
        <v>296</v>
      </c>
      <c r="C159" s="115"/>
    </row>
    <row r="160">
      <c r="A160" s="113"/>
      <c r="B160" s="114" t="s">
        <v>297</v>
      </c>
      <c r="C160" s="113"/>
    </row>
    <row r="161">
      <c r="A161" s="115"/>
      <c r="B161" s="116" t="s">
        <v>298</v>
      </c>
      <c r="C161" s="115"/>
    </row>
    <row r="162">
      <c r="A162" s="113"/>
      <c r="B162" s="114" t="s">
        <v>299</v>
      </c>
      <c r="C162" s="113"/>
    </row>
    <row r="163">
      <c r="A163" s="115"/>
      <c r="B163" s="116" t="s">
        <v>300</v>
      </c>
      <c r="C163" s="115"/>
    </row>
    <row r="164">
      <c r="A164" s="113"/>
      <c r="B164" s="114" t="s">
        <v>301</v>
      </c>
      <c r="C164" s="113"/>
    </row>
    <row r="165">
      <c r="A165" s="113"/>
      <c r="B165" s="117" t="s">
        <v>302</v>
      </c>
      <c r="C165" s="112" t="s">
        <v>139</v>
      </c>
    </row>
    <row r="166">
      <c r="A166" s="112" t="s">
        <v>40</v>
      </c>
      <c r="B166" s="112" t="s">
        <v>303</v>
      </c>
      <c r="C166" s="112" t="s">
        <v>139</v>
      </c>
    </row>
    <row r="167">
      <c r="A167" s="115"/>
      <c r="B167" s="116" t="s">
        <v>304</v>
      </c>
      <c r="C167" s="115"/>
      <c r="D167" s="2">
        <v>2.0</v>
      </c>
    </row>
    <row r="168">
      <c r="A168" s="113"/>
      <c r="B168" s="114" t="s">
        <v>305</v>
      </c>
      <c r="C168" s="113"/>
    </row>
    <row r="169">
      <c r="A169" s="115"/>
      <c r="B169" s="116" t="s">
        <v>306</v>
      </c>
      <c r="C169" s="115"/>
      <c r="D169" s="2">
        <v>3.0</v>
      </c>
    </row>
    <row r="170">
      <c r="A170" s="113"/>
      <c r="B170" s="114" t="s">
        <v>307</v>
      </c>
      <c r="C170" s="113"/>
    </row>
    <row r="171">
      <c r="A171" s="115"/>
      <c r="B171" s="116" t="s">
        <v>308</v>
      </c>
      <c r="C171" s="115"/>
    </row>
    <row r="172">
      <c r="A172" s="113"/>
      <c r="B172" s="114" t="s">
        <v>309</v>
      </c>
      <c r="C172" s="113"/>
    </row>
    <row r="173">
      <c r="A173" s="115"/>
      <c r="B173" s="116" t="s">
        <v>310</v>
      </c>
      <c r="C173" s="115"/>
    </row>
    <row r="174">
      <c r="A174" s="113"/>
      <c r="B174" s="114" t="s">
        <v>311</v>
      </c>
      <c r="C174" s="113"/>
      <c r="D174" s="2">
        <v>3.0</v>
      </c>
    </row>
    <row r="175">
      <c r="A175" s="113"/>
      <c r="B175" s="114" t="s">
        <v>312</v>
      </c>
      <c r="C175" s="113"/>
      <c r="D175" s="2">
        <v>2.0</v>
      </c>
    </row>
    <row r="176">
      <c r="A176" s="115"/>
      <c r="B176" s="116" t="s">
        <v>313</v>
      </c>
      <c r="C176" s="115"/>
    </row>
    <row r="177">
      <c r="A177" s="113"/>
      <c r="B177" s="114" t="s">
        <v>314</v>
      </c>
      <c r="C177" s="113"/>
      <c r="D177" s="2">
        <v>1.0</v>
      </c>
    </row>
    <row r="178">
      <c r="A178" s="115"/>
      <c r="B178" s="116" t="s">
        <v>315</v>
      </c>
      <c r="C178" s="115"/>
    </row>
    <row r="179">
      <c r="A179" s="115"/>
      <c r="B179" s="116" t="s">
        <v>316</v>
      </c>
      <c r="C179" s="115"/>
    </row>
    <row r="180">
      <c r="A180" s="115"/>
      <c r="B180" s="116" t="s">
        <v>317</v>
      </c>
      <c r="C180" s="115"/>
    </row>
    <row r="181">
      <c r="A181" s="115"/>
      <c r="B181" s="116" t="s">
        <v>318</v>
      </c>
      <c r="C181" s="115"/>
    </row>
    <row r="182">
      <c r="A182" s="115"/>
      <c r="B182" s="116" t="s">
        <v>319</v>
      </c>
      <c r="C182" s="115"/>
    </row>
    <row r="183">
      <c r="A183" s="113"/>
      <c r="B183" s="117" t="s">
        <v>320</v>
      </c>
      <c r="C183" s="113"/>
    </row>
    <row r="184">
      <c r="A184" s="112" t="s">
        <v>47</v>
      </c>
      <c r="B184" s="112" t="s">
        <v>321</v>
      </c>
      <c r="C184" s="112" t="s">
        <v>139</v>
      </c>
    </row>
    <row r="185">
      <c r="A185" s="113"/>
      <c r="B185" s="114" t="s">
        <v>322</v>
      </c>
      <c r="C185" s="113"/>
    </row>
    <row r="186">
      <c r="A186" s="115"/>
      <c r="B186" s="116" t="s">
        <v>323</v>
      </c>
      <c r="C186" s="115"/>
    </row>
    <row r="187">
      <c r="A187" s="113"/>
      <c r="B187" s="114" t="s">
        <v>324</v>
      </c>
      <c r="C187" s="113"/>
    </row>
    <row r="188">
      <c r="A188" s="115"/>
      <c r="B188" s="116" t="s">
        <v>325</v>
      </c>
      <c r="C188" s="115"/>
    </row>
    <row r="189">
      <c r="A189" s="113"/>
      <c r="B189" s="114" t="s">
        <v>326</v>
      </c>
      <c r="C189" s="113"/>
    </row>
    <row r="190">
      <c r="A190" s="115"/>
      <c r="B190" s="116" t="s">
        <v>327</v>
      </c>
      <c r="C190" s="115"/>
    </row>
    <row r="191">
      <c r="A191" s="113"/>
      <c r="B191" s="114" t="s">
        <v>328</v>
      </c>
      <c r="C191" s="113"/>
    </row>
    <row r="192">
      <c r="A192" s="115"/>
      <c r="B192" s="116" t="s">
        <v>329</v>
      </c>
      <c r="C192" s="115"/>
    </row>
    <row r="193">
      <c r="A193" s="115"/>
      <c r="B193" s="116" t="s">
        <v>330</v>
      </c>
      <c r="C193" s="115"/>
    </row>
    <row r="194">
      <c r="A194" s="113"/>
      <c r="B194" s="114" t="s">
        <v>331</v>
      </c>
      <c r="C194" s="113"/>
    </row>
    <row r="195">
      <c r="A195" s="113"/>
      <c r="B195" s="114" t="s">
        <v>332</v>
      </c>
      <c r="C195" s="113"/>
    </row>
    <row r="196">
      <c r="A196" s="113"/>
      <c r="B196" s="114" t="s">
        <v>333</v>
      </c>
      <c r="C196" s="113"/>
    </row>
    <row r="197">
      <c r="A197" s="115"/>
      <c r="B197" s="116" t="s">
        <v>334</v>
      </c>
      <c r="C197" s="115"/>
    </row>
    <row r="198">
      <c r="A198" s="112" t="s">
        <v>31</v>
      </c>
      <c r="B198" s="112" t="s">
        <v>335</v>
      </c>
      <c r="C198" s="112" t="s">
        <v>139</v>
      </c>
    </row>
    <row r="199">
      <c r="A199" s="113"/>
      <c r="B199" s="114" t="s">
        <v>336</v>
      </c>
      <c r="C199" s="113"/>
      <c r="D199" s="2">
        <v>1.0</v>
      </c>
    </row>
    <row r="200">
      <c r="A200" s="115"/>
      <c r="B200" s="116" t="s">
        <v>337</v>
      </c>
      <c r="C200" s="115"/>
    </row>
    <row r="201">
      <c r="A201" s="113"/>
      <c r="B201" s="114" t="s">
        <v>338</v>
      </c>
      <c r="C201" s="113"/>
    </row>
    <row r="202">
      <c r="A202" s="115"/>
      <c r="B202" s="116" t="s">
        <v>339</v>
      </c>
      <c r="C202" s="115"/>
    </row>
    <row r="203">
      <c r="A203" s="115"/>
      <c r="B203" s="116" t="s">
        <v>340</v>
      </c>
      <c r="C203" s="115"/>
    </row>
    <row r="204">
      <c r="A204" s="113"/>
      <c r="B204" s="114" t="s">
        <v>341</v>
      </c>
      <c r="C204" s="113"/>
    </row>
    <row r="205">
      <c r="A205" s="115"/>
      <c r="B205" s="116" t="s">
        <v>342</v>
      </c>
      <c r="C205" s="115"/>
    </row>
    <row r="206">
      <c r="A206" s="113"/>
      <c r="B206" s="114" t="s">
        <v>343</v>
      </c>
      <c r="C206" s="113"/>
      <c r="D206" s="2">
        <v>2.0</v>
      </c>
    </row>
    <row r="207">
      <c r="A207" s="115"/>
      <c r="B207" s="116" t="s">
        <v>344</v>
      </c>
      <c r="C207" s="115"/>
    </row>
    <row r="208">
      <c r="A208" s="113"/>
      <c r="B208" s="114" t="s">
        <v>345</v>
      </c>
      <c r="C208" s="113"/>
    </row>
    <row r="209">
      <c r="A209" s="115"/>
      <c r="B209" s="116" t="s">
        <v>346</v>
      </c>
      <c r="C209" s="115"/>
    </row>
    <row r="210">
      <c r="A210" s="115"/>
      <c r="B210" s="116" t="s">
        <v>347</v>
      </c>
      <c r="C210" s="115"/>
    </row>
    <row r="211">
      <c r="A211" s="112" t="s">
        <v>25</v>
      </c>
      <c r="B211" s="112" t="s">
        <v>348</v>
      </c>
      <c r="C211" s="112" t="s">
        <v>139</v>
      </c>
    </row>
    <row r="212">
      <c r="A212" s="113"/>
      <c r="B212" s="114" t="s">
        <v>349</v>
      </c>
      <c r="C212" s="113"/>
    </row>
    <row r="213">
      <c r="A213" s="115"/>
      <c r="B213" s="116" t="s">
        <v>350</v>
      </c>
      <c r="C213" s="115"/>
    </row>
    <row r="214">
      <c r="A214" s="113"/>
      <c r="B214" s="114" t="s">
        <v>351</v>
      </c>
      <c r="C214" s="113"/>
      <c r="D214" s="2">
        <v>2.0</v>
      </c>
    </row>
    <row r="215">
      <c r="A215" s="115"/>
      <c r="B215" s="116" t="s">
        <v>352</v>
      </c>
      <c r="C215" s="115"/>
    </row>
    <row r="216">
      <c r="A216" s="113"/>
      <c r="B216" s="114" t="s">
        <v>353</v>
      </c>
      <c r="C216" s="113"/>
    </row>
    <row r="217">
      <c r="A217" s="115"/>
      <c r="B217" s="116" t="s">
        <v>354</v>
      </c>
      <c r="C217" s="115"/>
    </row>
    <row r="218">
      <c r="A218" s="113"/>
      <c r="B218" s="114" t="s">
        <v>355</v>
      </c>
      <c r="C218" s="113"/>
    </row>
    <row r="219">
      <c r="A219" s="113"/>
      <c r="B219" s="114" t="s">
        <v>356</v>
      </c>
      <c r="C219" s="113"/>
      <c r="D219" s="2">
        <v>2.0</v>
      </c>
    </row>
    <row r="220">
      <c r="A220" s="113"/>
      <c r="B220" s="114" t="s">
        <v>357</v>
      </c>
      <c r="C220" s="113"/>
      <c r="D220" s="2"/>
    </row>
    <row r="221">
      <c r="A221" s="113"/>
      <c r="B221" s="114" t="s">
        <v>358</v>
      </c>
      <c r="C221" s="113"/>
    </row>
    <row r="222">
      <c r="A222" s="113"/>
      <c r="B222" s="114" t="s">
        <v>359</v>
      </c>
      <c r="C222" s="113"/>
      <c r="D222" s="2">
        <v>1.0</v>
      </c>
    </row>
    <row r="223">
      <c r="A223" s="118" t="s">
        <v>20</v>
      </c>
      <c r="B223" s="118" t="s">
        <v>360</v>
      </c>
      <c r="C223" s="118" t="s">
        <v>139</v>
      </c>
      <c r="D223" s="119"/>
    </row>
    <row r="224">
      <c r="A224" s="120"/>
      <c r="B224" s="118" t="s">
        <v>361</v>
      </c>
      <c r="C224" s="118" t="s">
        <v>139</v>
      </c>
      <c r="D224" s="119"/>
    </row>
    <row r="225">
      <c r="A225" s="115"/>
      <c r="B225" s="116" t="s">
        <v>362</v>
      </c>
      <c r="C225" s="115"/>
    </row>
    <row r="226">
      <c r="A226" s="113"/>
      <c r="B226" s="114" t="s">
        <v>363</v>
      </c>
      <c r="C226" s="113"/>
    </row>
    <row r="227">
      <c r="A227" s="115"/>
      <c r="B227" s="116" t="s">
        <v>364</v>
      </c>
      <c r="C227" s="115"/>
    </row>
    <row r="228">
      <c r="A228" s="113"/>
      <c r="B228" s="114" t="s">
        <v>365</v>
      </c>
      <c r="C228" s="113"/>
    </row>
    <row r="229">
      <c r="A229" s="115"/>
      <c r="B229" s="116" t="s">
        <v>366</v>
      </c>
      <c r="C229" s="115"/>
    </row>
    <row r="230">
      <c r="A230" s="113"/>
      <c r="B230" s="114" t="s">
        <v>367</v>
      </c>
      <c r="C230" s="113"/>
    </row>
    <row r="231">
      <c r="B231" s="2" t="s">
        <v>368</v>
      </c>
    </row>
    <row r="232">
      <c r="B232" s="2" t="s">
        <v>369</v>
      </c>
    </row>
    <row r="233">
      <c r="B233" s="2" t="s">
        <v>370</v>
      </c>
    </row>
    <row r="234">
      <c r="B234" s="2" t="s">
        <v>371</v>
      </c>
    </row>
    <row r="235">
      <c r="B235" s="2" t="s">
        <v>372</v>
      </c>
    </row>
    <row r="236">
      <c r="B236" s="2" t="s">
        <v>373</v>
      </c>
      <c r="D236" s="2">
        <v>1.0</v>
      </c>
    </row>
    <row r="237">
      <c r="B237" s="2" t="s">
        <v>374</v>
      </c>
      <c r="D237" s="2">
        <v>3.0</v>
      </c>
    </row>
    <row r="238">
      <c r="A238" s="112" t="s">
        <v>13</v>
      </c>
      <c r="B238" s="112" t="s">
        <v>375</v>
      </c>
      <c r="C238" s="112" t="s">
        <v>139</v>
      </c>
    </row>
    <row r="239">
      <c r="A239" s="113"/>
      <c r="B239" s="114" t="s">
        <v>376</v>
      </c>
      <c r="C239" s="113"/>
    </row>
    <row r="240">
      <c r="A240" s="115"/>
      <c r="B240" s="116" t="s">
        <v>377</v>
      </c>
      <c r="C240" s="115"/>
    </row>
    <row r="241">
      <c r="A241" s="113"/>
      <c r="B241" s="114" t="s">
        <v>378</v>
      </c>
      <c r="C241" s="113"/>
    </row>
    <row r="242">
      <c r="A242" s="115"/>
      <c r="B242" s="116" t="s">
        <v>379</v>
      </c>
      <c r="C242" s="115"/>
    </row>
    <row r="243">
      <c r="A243" s="113"/>
      <c r="B243" s="114" t="s">
        <v>380</v>
      </c>
      <c r="C243" s="113"/>
    </row>
    <row r="244">
      <c r="A244" s="115"/>
      <c r="B244" s="116" t="s">
        <v>381</v>
      </c>
      <c r="C244" s="115"/>
      <c r="D244" s="2">
        <v>1.0</v>
      </c>
    </row>
    <row r="245">
      <c r="A245" s="113"/>
      <c r="B245" s="114" t="s">
        <v>382</v>
      </c>
      <c r="C245" s="113"/>
    </row>
    <row r="246">
      <c r="B246" s="2" t="s">
        <v>383</v>
      </c>
    </row>
    <row r="247">
      <c r="B247" s="2" t="s">
        <v>384</v>
      </c>
    </row>
    <row r="248">
      <c r="B248" s="2" t="s">
        <v>385</v>
      </c>
    </row>
    <row r="249">
      <c r="B249" s="2" t="s">
        <v>386</v>
      </c>
    </row>
    <row r="250">
      <c r="B250" s="2" t="s">
        <v>387</v>
      </c>
    </row>
    <row r="251">
      <c r="B251" s="2" t="s">
        <v>388</v>
      </c>
    </row>
    <row r="252">
      <c r="B252" s="2" t="s">
        <v>389</v>
      </c>
    </row>
    <row r="253">
      <c r="B253" s="2" t="s">
        <v>390</v>
      </c>
    </row>
    <row r="254">
      <c r="B254" s="2" t="s">
        <v>391</v>
      </c>
    </row>
    <row r="255">
      <c r="B255" s="2" t="s">
        <v>392</v>
      </c>
    </row>
    <row r="256">
      <c r="B256" s="2" t="s">
        <v>393</v>
      </c>
    </row>
    <row r="257">
      <c r="B257" s="2" t="s">
        <v>394</v>
      </c>
    </row>
    <row r="258">
      <c r="A258" s="112" t="s">
        <v>24</v>
      </c>
      <c r="B258" s="112" t="s">
        <v>395</v>
      </c>
      <c r="C258" s="112" t="s">
        <v>139</v>
      </c>
    </row>
    <row r="259">
      <c r="A259" s="113"/>
      <c r="B259" s="114" t="s">
        <v>396</v>
      </c>
      <c r="C259" s="113"/>
    </row>
    <row r="260">
      <c r="A260" s="115"/>
      <c r="B260" s="116" t="s">
        <v>397</v>
      </c>
      <c r="C260" s="115"/>
      <c r="D260" s="2">
        <v>2.0</v>
      </c>
    </row>
    <row r="261">
      <c r="A261" s="113"/>
      <c r="B261" s="114" t="s">
        <v>398</v>
      </c>
      <c r="C261" s="113"/>
    </row>
    <row r="262">
      <c r="A262" s="115"/>
      <c r="B262" s="116" t="s">
        <v>399</v>
      </c>
      <c r="C262" s="115"/>
    </row>
    <row r="263">
      <c r="A263" s="115"/>
      <c r="B263" s="116" t="s">
        <v>400</v>
      </c>
      <c r="C263" s="115"/>
    </row>
    <row r="264">
      <c r="A264" s="115"/>
      <c r="B264" s="116" t="s">
        <v>401</v>
      </c>
      <c r="C264" s="115"/>
    </row>
    <row r="265">
      <c r="A265" s="113"/>
      <c r="B265" s="114" t="s">
        <v>402</v>
      </c>
      <c r="C265" s="113"/>
    </row>
    <row r="266">
      <c r="A266" s="115"/>
      <c r="B266" s="116" t="s">
        <v>403</v>
      </c>
      <c r="C266" s="115"/>
    </row>
    <row r="267">
      <c r="A267" s="113"/>
      <c r="B267" s="114" t="s">
        <v>404</v>
      </c>
      <c r="C267" s="113"/>
    </row>
    <row r="268">
      <c r="A268" s="113"/>
      <c r="B268" s="114" t="s">
        <v>405</v>
      </c>
      <c r="C268" s="113"/>
    </row>
    <row r="269">
      <c r="A269" s="113"/>
      <c r="B269" s="114" t="s">
        <v>406</v>
      </c>
      <c r="C269" s="113"/>
      <c r="D269" s="2">
        <v>2.0</v>
      </c>
    </row>
    <row r="270">
      <c r="A270" s="113"/>
      <c r="B270" s="114" t="s">
        <v>407</v>
      </c>
      <c r="C270" s="113"/>
    </row>
    <row r="271">
      <c r="B271" s="2" t="s">
        <v>408</v>
      </c>
    </row>
    <row r="272">
      <c r="B272" s="2" t="s">
        <v>409</v>
      </c>
      <c r="D272" s="2">
        <v>1.0</v>
      </c>
    </row>
    <row r="273">
      <c r="A273" s="118" t="s">
        <v>11</v>
      </c>
      <c r="B273" s="118" t="s">
        <v>410</v>
      </c>
      <c r="C273" s="118" t="s">
        <v>139</v>
      </c>
      <c r="D273" s="119"/>
    </row>
    <row r="274">
      <c r="A274" s="120"/>
      <c r="B274" s="118" t="s">
        <v>411</v>
      </c>
      <c r="C274" s="118" t="s">
        <v>139</v>
      </c>
      <c r="D274" s="119"/>
    </row>
    <row r="275">
      <c r="A275" s="115"/>
      <c r="B275" s="116" t="s">
        <v>412</v>
      </c>
      <c r="C275" s="118" t="s">
        <v>139</v>
      </c>
    </row>
    <row r="276">
      <c r="A276" s="115"/>
      <c r="B276" s="116" t="s">
        <v>413</v>
      </c>
      <c r="C276" s="115"/>
    </row>
    <row r="277">
      <c r="A277" s="113"/>
      <c r="B277" s="114" t="s">
        <v>414</v>
      </c>
      <c r="C277" s="113"/>
    </row>
    <row r="278">
      <c r="A278" s="115"/>
      <c r="B278" s="116" t="s">
        <v>415</v>
      </c>
      <c r="C278" s="115"/>
    </row>
    <row r="279">
      <c r="A279" s="113"/>
      <c r="B279" s="114" t="s">
        <v>416</v>
      </c>
      <c r="C279" s="113"/>
    </row>
    <row r="280">
      <c r="A280" s="115"/>
      <c r="B280" s="116" t="s">
        <v>417</v>
      </c>
      <c r="C280" s="115"/>
    </row>
    <row r="281">
      <c r="A281" s="113"/>
      <c r="B281" s="114" t="s">
        <v>418</v>
      </c>
      <c r="C281" s="113"/>
    </row>
    <row r="282">
      <c r="B282" s="2" t="s">
        <v>419</v>
      </c>
    </row>
    <row r="283">
      <c r="B283" s="2" t="s">
        <v>420</v>
      </c>
    </row>
    <row r="284">
      <c r="B284" s="2" t="s">
        <v>421</v>
      </c>
    </row>
    <row r="285">
      <c r="B285" s="2" t="s">
        <v>422</v>
      </c>
    </row>
    <row r="286">
      <c r="B286" s="2" t="s">
        <v>423</v>
      </c>
      <c r="D286" s="2">
        <v>1.0</v>
      </c>
    </row>
    <row r="287">
      <c r="B287" s="2" t="s">
        <v>424</v>
      </c>
      <c r="D287" s="2">
        <v>2.0</v>
      </c>
    </row>
    <row r="288">
      <c r="B288" s="2" t="s">
        <v>425</v>
      </c>
      <c r="D288" s="2">
        <v>2.0</v>
      </c>
    </row>
    <row r="289">
      <c r="B289" s="2" t="s">
        <v>426</v>
      </c>
    </row>
    <row r="290">
      <c r="A290" s="112" t="s">
        <v>17</v>
      </c>
      <c r="B290" s="112" t="s">
        <v>427</v>
      </c>
      <c r="C290" s="112" t="s">
        <v>139</v>
      </c>
    </row>
    <row r="291">
      <c r="A291" s="113"/>
      <c r="B291" s="116" t="s">
        <v>428</v>
      </c>
      <c r="C291" s="116"/>
    </row>
    <row r="292">
      <c r="A292" s="115"/>
      <c r="B292" s="116" t="s">
        <v>429</v>
      </c>
      <c r="C292" s="115"/>
      <c r="D292" s="2">
        <v>1.0</v>
      </c>
    </row>
    <row r="293">
      <c r="A293" s="113"/>
      <c r="B293" s="114" t="s">
        <v>430</v>
      </c>
      <c r="C293" s="113"/>
    </row>
    <row r="294">
      <c r="A294" s="115"/>
      <c r="B294" s="116" t="s">
        <v>431</v>
      </c>
      <c r="C294" s="115"/>
      <c r="D294" s="2">
        <v>1.0</v>
      </c>
    </row>
    <row r="295">
      <c r="A295" s="113"/>
      <c r="B295" s="114" t="s">
        <v>432</v>
      </c>
      <c r="C295" s="113"/>
    </row>
    <row r="296">
      <c r="A296" s="113"/>
      <c r="B296" s="114" t="s">
        <v>433</v>
      </c>
      <c r="C296" s="113"/>
    </row>
    <row r="297">
      <c r="A297" s="113"/>
      <c r="B297" s="114" t="s">
        <v>434</v>
      </c>
      <c r="C297" s="113"/>
      <c r="D297" s="2">
        <v>1.0</v>
      </c>
    </row>
    <row r="298">
      <c r="A298" s="115"/>
      <c r="B298" s="116" t="s">
        <v>239</v>
      </c>
      <c r="C298" s="115"/>
    </row>
    <row r="299">
      <c r="A299" s="113"/>
      <c r="B299" s="114" t="s">
        <v>435</v>
      </c>
      <c r="C299" s="113"/>
    </row>
    <row r="300">
      <c r="B300" s="2" t="s">
        <v>436</v>
      </c>
    </row>
    <row r="301">
      <c r="A301" s="112" t="s">
        <v>43</v>
      </c>
      <c r="B301" s="112" t="s">
        <v>437</v>
      </c>
      <c r="C301" s="112" t="s">
        <v>139</v>
      </c>
    </row>
    <row r="302">
      <c r="A302" s="113"/>
      <c r="B302" s="116" t="s">
        <v>438</v>
      </c>
      <c r="C302" s="116"/>
    </row>
    <row r="303">
      <c r="A303" s="115"/>
      <c r="B303" s="116" t="s">
        <v>439</v>
      </c>
      <c r="C303" s="115"/>
    </row>
    <row r="304">
      <c r="A304" s="113"/>
      <c r="B304" s="114" t="s">
        <v>440</v>
      </c>
      <c r="C304" s="113"/>
    </row>
    <row r="305">
      <c r="A305" s="115"/>
      <c r="B305" s="116" t="s">
        <v>441</v>
      </c>
      <c r="C305" s="115"/>
    </row>
    <row r="306">
      <c r="A306" s="113"/>
      <c r="B306" s="114" t="s">
        <v>442</v>
      </c>
      <c r="C306" s="113"/>
    </row>
    <row r="307">
      <c r="A307" s="115"/>
      <c r="B307" s="116" t="s">
        <v>443</v>
      </c>
      <c r="C307" s="115"/>
    </row>
    <row r="308">
      <c r="A308" s="113"/>
      <c r="B308" s="114" t="s">
        <v>444</v>
      </c>
      <c r="C308" s="113"/>
    </row>
    <row r="309">
      <c r="B309" s="2" t="s">
        <v>445</v>
      </c>
    </row>
    <row r="310">
      <c r="B310" s="2" t="s">
        <v>446</v>
      </c>
    </row>
    <row r="311">
      <c r="B311" s="2" t="s">
        <v>447</v>
      </c>
    </row>
    <row r="312">
      <c r="B312" s="2" t="s">
        <v>448</v>
      </c>
    </row>
    <row r="313">
      <c r="B313" s="2" t="s">
        <v>449</v>
      </c>
    </row>
    <row r="314">
      <c r="B314" s="2" t="s">
        <v>450</v>
      </c>
    </row>
    <row r="315">
      <c r="B315" s="2" t="s">
        <v>451</v>
      </c>
    </row>
    <row r="316">
      <c r="B316" s="2" t="s">
        <v>452</v>
      </c>
    </row>
    <row r="317">
      <c r="B317" s="2" t="s">
        <v>453</v>
      </c>
    </row>
    <row r="318">
      <c r="B318" s="2" t="s">
        <v>454</v>
      </c>
    </row>
    <row r="319">
      <c r="B319" s="2" t="s">
        <v>455</v>
      </c>
    </row>
    <row r="320">
      <c r="A320" s="112" t="s">
        <v>28</v>
      </c>
      <c r="B320" s="112" t="s">
        <v>456</v>
      </c>
      <c r="C320" s="112" t="s">
        <v>139</v>
      </c>
    </row>
    <row r="321">
      <c r="A321" s="113"/>
      <c r="B321" s="116" t="s">
        <v>457</v>
      </c>
      <c r="C321" s="116"/>
    </row>
    <row r="322">
      <c r="A322" s="115"/>
      <c r="B322" s="116" t="s">
        <v>458</v>
      </c>
      <c r="C322" s="115"/>
    </row>
    <row r="323">
      <c r="A323" s="113"/>
      <c r="B323" s="114" t="s">
        <v>459</v>
      </c>
      <c r="C323" s="113"/>
    </row>
    <row r="324">
      <c r="A324" s="115"/>
      <c r="B324" s="116" t="s">
        <v>460</v>
      </c>
      <c r="C324" s="115"/>
      <c r="D324" s="2">
        <v>1.0</v>
      </c>
    </row>
    <row r="325">
      <c r="A325" s="113"/>
      <c r="B325" s="114" t="s">
        <v>461</v>
      </c>
      <c r="C325" s="113"/>
    </row>
    <row r="326">
      <c r="A326" s="115"/>
      <c r="B326" s="116" t="s">
        <v>462</v>
      </c>
      <c r="C326" s="115"/>
    </row>
    <row r="327">
      <c r="A327" s="113"/>
      <c r="B327" s="114" t="s">
        <v>463</v>
      </c>
      <c r="C327" s="113"/>
    </row>
    <row r="328">
      <c r="B328" s="2" t="s">
        <v>464</v>
      </c>
    </row>
    <row r="329">
      <c r="B329" s="2" t="s">
        <v>465</v>
      </c>
    </row>
    <row r="330">
      <c r="B330" s="2" t="s">
        <v>466</v>
      </c>
    </row>
    <row r="331">
      <c r="B331" s="2" t="s">
        <v>467</v>
      </c>
    </row>
    <row r="332">
      <c r="B332" s="2" t="s">
        <v>468</v>
      </c>
    </row>
    <row r="333">
      <c r="B333" s="2" t="s">
        <v>469</v>
      </c>
    </row>
    <row r="334">
      <c r="B334" s="2" t="s">
        <v>470</v>
      </c>
    </row>
    <row r="335">
      <c r="B335" s="2" t="s">
        <v>471</v>
      </c>
    </row>
    <row r="336">
      <c r="B336" s="2" t="s">
        <v>472</v>
      </c>
    </row>
    <row r="337">
      <c r="A337" s="112" t="s">
        <v>49</v>
      </c>
      <c r="B337" s="112" t="s">
        <v>473</v>
      </c>
      <c r="C337" s="112" t="s">
        <v>139</v>
      </c>
    </row>
    <row r="338">
      <c r="A338" s="113"/>
      <c r="B338" s="116" t="s">
        <v>474</v>
      </c>
      <c r="C338" s="116"/>
    </row>
    <row r="339">
      <c r="A339" s="115"/>
      <c r="B339" s="116" t="s">
        <v>475</v>
      </c>
      <c r="C339" s="115"/>
    </row>
    <row r="340">
      <c r="A340" s="113"/>
      <c r="B340" s="114" t="s">
        <v>468</v>
      </c>
      <c r="C340" s="113"/>
    </row>
    <row r="341">
      <c r="A341" s="115"/>
      <c r="B341" s="116" t="s">
        <v>476</v>
      </c>
      <c r="C341" s="115"/>
    </row>
    <row r="342">
      <c r="A342" s="113"/>
      <c r="B342" s="114" t="s">
        <v>477</v>
      </c>
      <c r="C342" s="113"/>
    </row>
    <row r="343">
      <c r="A343" s="115"/>
      <c r="B343" s="116" t="s">
        <v>478</v>
      </c>
      <c r="C343" s="115"/>
    </row>
    <row r="344">
      <c r="A344" s="115"/>
      <c r="B344" s="116" t="s">
        <v>479</v>
      </c>
      <c r="C344" s="115"/>
    </row>
    <row r="345">
      <c r="A345" s="115"/>
      <c r="B345" s="116" t="s">
        <v>480</v>
      </c>
      <c r="C345" s="115"/>
    </row>
    <row r="346">
      <c r="A346" s="115"/>
      <c r="B346" s="116" t="s">
        <v>481</v>
      </c>
      <c r="C346" s="115"/>
    </row>
    <row r="347">
      <c r="A347" s="115"/>
      <c r="B347" s="116" t="s">
        <v>482</v>
      </c>
      <c r="C347" s="115"/>
    </row>
    <row r="348">
      <c r="A348" s="113"/>
      <c r="B348" s="114" t="s">
        <v>483</v>
      </c>
      <c r="C348" s="113"/>
    </row>
    <row r="349">
      <c r="A349" s="112" t="s">
        <v>34</v>
      </c>
      <c r="B349" s="112" t="s">
        <v>484</v>
      </c>
      <c r="C349" s="112" t="s">
        <v>139</v>
      </c>
    </row>
    <row r="350">
      <c r="A350" s="113"/>
      <c r="B350" s="116" t="s">
        <v>485</v>
      </c>
      <c r="C350" s="116"/>
    </row>
    <row r="351">
      <c r="A351" s="115"/>
      <c r="B351" s="116" t="s">
        <v>486</v>
      </c>
      <c r="C351" s="115"/>
    </row>
    <row r="352">
      <c r="A352" s="113"/>
      <c r="B352" s="114" t="s">
        <v>487</v>
      </c>
      <c r="C352" s="113"/>
    </row>
    <row r="353">
      <c r="A353" s="115"/>
      <c r="B353" s="116" t="s">
        <v>488</v>
      </c>
      <c r="C353" s="115"/>
    </row>
    <row r="354">
      <c r="A354" s="115"/>
      <c r="B354" s="116" t="s">
        <v>489</v>
      </c>
      <c r="C354" s="115"/>
    </row>
    <row r="355" hidden="1">
      <c r="A355" s="113"/>
      <c r="B355" s="114"/>
      <c r="C355" s="113"/>
    </row>
    <row r="356">
      <c r="B356" s="2" t="s">
        <v>490</v>
      </c>
    </row>
    <row r="357">
      <c r="B357" s="2" t="s">
        <v>491</v>
      </c>
    </row>
    <row r="358">
      <c r="B358" s="2" t="s">
        <v>492</v>
      </c>
    </row>
    <row r="359">
      <c r="B359" s="2" t="s">
        <v>493</v>
      </c>
    </row>
    <row r="360">
      <c r="B360" s="2" t="s">
        <v>494</v>
      </c>
    </row>
    <row r="361">
      <c r="B361" s="2" t="s">
        <v>495</v>
      </c>
      <c r="D361" s="2">
        <v>1.0</v>
      </c>
    </row>
    <row r="362">
      <c r="B362" s="2" t="s">
        <v>496</v>
      </c>
      <c r="D362" s="2">
        <v>1.0</v>
      </c>
    </row>
    <row r="363">
      <c r="B363" s="2" t="s">
        <v>497</v>
      </c>
    </row>
    <row r="364">
      <c r="A364" s="112" t="s">
        <v>44</v>
      </c>
      <c r="B364" s="112" t="s">
        <v>498</v>
      </c>
      <c r="C364" s="112" t="s">
        <v>139</v>
      </c>
    </row>
    <row r="365">
      <c r="A365" s="112"/>
      <c r="B365" s="112" t="s">
        <v>499</v>
      </c>
      <c r="C365" s="112" t="s">
        <v>139</v>
      </c>
    </row>
    <row r="366">
      <c r="A366" s="113"/>
      <c r="B366" s="116" t="s">
        <v>500</v>
      </c>
      <c r="C366" s="116"/>
    </row>
    <row r="367">
      <c r="A367" s="115"/>
      <c r="B367" s="116" t="s">
        <v>501</v>
      </c>
      <c r="C367" s="115"/>
    </row>
    <row r="368">
      <c r="A368" s="113"/>
      <c r="B368" s="114" t="s">
        <v>502</v>
      </c>
      <c r="C368" s="113"/>
    </row>
    <row r="369">
      <c r="A369" s="113"/>
      <c r="B369" s="114" t="s">
        <v>503</v>
      </c>
      <c r="C369" s="113"/>
    </row>
    <row r="370">
      <c r="A370" s="115"/>
      <c r="B370" s="116" t="s">
        <v>504</v>
      </c>
      <c r="C370" s="115"/>
    </row>
    <row r="371">
      <c r="A371" s="113"/>
      <c r="B371" s="114" t="s">
        <v>505</v>
      </c>
      <c r="C371" s="113"/>
    </row>
    <row r="372">
      <c r="B372" s="2" t="s">
        <v>506</v>
      </c>
    </row>
    <row r="373">
      <c r="B373" s="2" t="s">
        <v>507</v>
      </c>
    </row>
    <row r="374">
      <c r="B374" s="2" t="s">
        <v>508</v>
      </c>
    </row>
    <row r="375">
      <c r="B375" s="2" t="s">
        <v>509</v>
      </c>
    </row>
    <row r="376">
      <c r="B376" s="2" t="s">
        <v>510</v>
      </c>
    </row>
    <row r="377">
      <c r="B377" s="2" t="s">
        <v>511</v>
      </c>
    </row>
    <row r="378">
      <c r="B378" s="2" t="s">
        <v>512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6.0"/>
    <col customWidth="1" min="4" max="4" width="22.0"/>
    <col customWidth="1" min="5" max="5" width="6.0"/>
    <col customWidth="1" min="6" max="6" width="20.0"/>
    <col customWidth="1" min="7" max="26" width="8.71"/>
  </cols>
  <sheetData>
    <row r="1" ht="27.75" customHeight="1">
      <c r="A1" s="121" t="s">
        <v>513</v>
      </c>
      <c r="B1" s="74"/>
      <c r="C1" s="74"/>
      <c r="D1" s="74"/>
      <c r="E1" s="74"/>
      <c r="F1" s="75"/>
    </row>
    <row r="2" ht="18.0" customHeight="1">
      <c r="A2" s="77" t="s">
        <v>514</v>
      </c>
      <c r="B2" s="77" t="s">
        <v>515</v>
      </c>
      <c r="C2" s="77" t="s">
        <v>516</v>
      </c>
      <c r="D2" s="77" t="s">
        <v>517</v>
      </c>
      <c r="E2" s="77" t="s">
        <v>518</v>
      </c>
      <c r="F2" s="77" t="s">
        <v>519</v>
      </c>
    </row>
    <row r="3" ht="16.5" customHeight="1">
      <c r="A3" s="122" t="s">
        <v>520</v>
      </c>
      <c r="B3" s="123" t="s">
        <v>521</v>
      </c>
      <c r="C3" s="124"/>
      <c r="D3" s="123" t="s">
        <v>521</v>
      </c>
      <c r="E3" s="124"/>
      <c r="F3" s="124" t="s">
        <v>522</v>
      </c>
      <c r="G3" s="125">
        <v>46212.0</v>
      </c>
    </row>
    <row r="4" ht="16.5" customHeight="1">
      <c r="A4" s="122" t="s">
        <v>520</v>
      </c>
      <c r="B4" s="123" t="s">
        <v>521</v>
      </c>
      <c r="C4" s="124"/>
      <c r="D4" s="123" t="s">
        <v>521</v>
      </c>
      <c r="E4" s="124"/>
      <c r="F4" s="124" t="s">
        <v>522</v>
      </c>
      <c r="G4" s="125">
        <v>46213.0</v>
      </c>
    </row>
    <row r="5" ht="16.5" customHeight="1">
      <c r="A5" s="122" t="s">
        <v>520</v>
      </c>
      <c r="B5" s="123" t="s">
        <v>521</v>
      </c>
      <c r="C5" s="124"/>
      <c r="D5" s="123" t="s">
        <v>521</v>
      </c>
      <c r="E5" s="124"/>
      <c r="F5" s="124" t="s">
        <v>522</v>
      </c>
      <c r="G5" s="125">
        <v>46213.0</v>
      </c>
    </row>
    <row r="6" ht="16.5" customHeight="1">
      <c r="A6" s="122" t="s">
        <v>520</v>
      </c>
      <c r="B6" s="123" t="s">
        <v>521</v>
      </c>
      <c r="C6" s="124"/>
      <c r="D6" s="123" t="s">
        <v>521</v>
      </c>
      <c r="E6" s="124"/>
      <c r="F6" s="124" t="s">
        <v>522</v>
      </c>
      <c r="G6" s="125">
        <v>46213.0</v>
      </c>
    </row>
    <row r="7" ht="16.5" customHeight="1">
      <c r="A7" s="122" t="s">
        <v>523</v>
      </c>
      <c r="B7" s="123" t="s">
        <v>521</v>
      </c>
      <c r="C7" s="124"/>
      <c r="D7" s="123" t="s">
        <v>521</v>
      </c>
      <c r="E7" s="124"/>
      <c r="F7" s="124" t="s">
        <v>522</v>
      </c>
      <c r="G7" s="125">
        <v>46216.0</v>
      </c>
    </row>
    <row r="8" ht="16.5" customHeight="1">
      <c r="A8" s="122" t="s">
        <v>523</v>
      </c>
      <c r="B8" s="123" t="s">
        <v>521</v>
      </c>
      <c r="C8" s="124"/>
      <c r="D8" s="123" t="s">
        <v>521</v>
      </c>
      <c r="E8" s="124"/>
      <c r="F8" s="124" t="s">
        <v>522</v>
      </c>
      <c r="G8" s="125">
        <v>46217.0</v>
      </c>
    </row>
    <row r="9" ht="16.5" customHeight="1">
      <c r="A9" s="122" t="s">
        <v>524</v>
      </c>
      <c r="B9" s="123" t="s">
        <v>521</v>
      </c>
      <c r="C9" s="124"/>
      <c r="D9" s="123" t="s">
        <v>521</v>
      </c>
      <c r="E9" s="124"/>
      <c r="F9" s="124" t="s">
        <v>522</v>
      </c>
      <c r="G9" s="125">
        <v>46220.0</v>
      </c>
    </row>
    <row r="10" ht="16.5" customHeight="1">
      <c r="A10" s="124" t="s">
        <v>525</v>
      </c>
      <c r="B10" s="123" t="s">
        <v>521</v>
      </c>
      <c r="C10" s="124"/>
      <c r="D10" s="123" t="s">
        <v>521</v>
      </c>
      <c r="E10" s="124"/>
      <c r="F10" s="124" t="s">
        <v>522</v>
      </c>
      <c r="G10" s="125">
        <v>46220.0</v>
      </c>
    </row>
    <row r="11" ht="16.5" customHeight="1">
      <c r="A11" s="126" t="s">
        <v>520</v>
      </c>
      <c r="B11" s="127" t="s">
        <v>521</v>
      </c>
      <c r="C11" s="128"/>
      <c r="D11" s="127" t="s">
        <v>521</v>
      </c>
      <c r="E11" s="128"/>
      <c r="F11" s="129" t="s">
        <v>526</v>
      </c>
      <c r="G11" s="125">
        <v>46211.0</v>
      </c>
    </row>
    <row r="12" ht="16.5" customHeight="1">
      <c r="A12" s="126" t="s">
        <v>520</v>
      </c>
      <c r="B12" s="127" t="s">
        <v>521</v>
      </c>
      <c r="C12" s="128"/>
      <c r="D12" s="127" t="s">
        <v>521</v>
      </c>
      <c r="E12" s="128"/>
      <c r="F12" s="129" t="s">
        <v>526</v>
      </c>
      <c r="G12" s="125">
        <v>46211.0</v>
      </c>
    </row>
    <row r="13" ht="16.5" customHeight="1">
      <c r="A13" s="126" t="s">
        <v>520</v>
      </c>
      <c r="B13" s="127" t="s">
        <v>521</v>
      </c>
      <c r="C13" s="128"/>
      <c r="D13" s="127" t="s">
        <v>521</v>
      </c>
      <c r="E13" s="128"/>
      <c r="F13" s="129" t="s">
        <v>526</v>
      </c>
      <c r="G13" s="125">
        <v>46212.0</v>
      </c>
    </row>
    <row r="14" ht="16.5" customHeight="1">
      <c r="A14" s="126" t="s">
        <v>520</v>
      </c>
      <c r="B14" s="127" t="s">
        <v>521</v>
      </c>
      <c r="C14" s="128"/>
      <c r="D14" s="127" t="s">
        <v>521</v>
      </c>
      <c r="E14" s="128"/>
      <c r="F14" s="129" t="s">
        <v>526</v>
      </c>
      <c r="G14" s="125">
        <v>46212.0</v>
      </c>
    </row>
    <row r="15" ht="16.5" customHeight="1">
      <c r="A15" s="126" t="s">
        <v>523</v>
      </c>
      <c r="B15" s="127" t="s">
        <v>521</v>
      </c>
      <c r="C15" s="128"/>
      <c r="D15" s="127" t="s">
        <v>521</v>
      </c>
      <c r="E15" s="128"/>
      <c r="F15" s="129" t="s">
        <v>526</v>
      </c>
      <c r="G15" s="125">
        <v>46216.0</v>
      </c>
    </row>
    <row r="16" ht="16.5" customHeight="1">
      <c r="A16" s="126" t="s">
        <v>523</v>
      </c>
      <c r="B16" s="127" t="s">
        <v>521</v>
      </c>
      <c r="C16" s="128"/>
      <c r="D16" s="127" t="s">
        <v>521</v>
      </c>
      <c r="E16" s="128"/>
      <c r="F16" s="129" t="s">
        <v>526</v>
      </c>
      <c r="G16" s="125">
        <v>46217.0</v>
      </c>
    </row>
    <row r="17" ht="16.5" customHeight="1">
      <c r="A17" s="129" t="s">
        <v>527</v>
      </c>
      <c r="B17" s="127" t="s">
        <v>521</v>
      </c>
      <c r="C17" s="128"/>
      <c r="D17" s="127" t="s">
        <v>521</v>
      </c>
      <c r="E17" s="128"/>
      <c r="F17" s="129" t="s">
        <v>526</v>
      </c>
      <c r="G17" s="125">
        <v>46220.0</v>
      </c>
    </row>
    <row r="18" ht="16.5" customHeight="1">
      <c r="A18" s="130" t="s">
        <v>520</v>
      </c>
      <c r="B18" s="131" t="s">
        <v>521</v>
      </c>
      <c r="C18" s="132"/>
      <c r="D18" s="131" t="s">
        <v>521</v>
      </c>
      <c r="E18" s="132"/>
      <c r="F18" s="133" t="s">
        <v>528</v>
      </c>
      <c r="G18" s="125">
        <v>46210.0</v>
      </c>
    </row>
    <row r="19" ht="16.5" customHeight="1">
      <c r="A19" s="130" t="s">
        <v>520</v>
      </c>
      <c r="B19" s="131" t="s">
        <v>521</v>
      </c>
      <c r="C19" s="132"/>
      <c r="D19" s="131" t="s">
        <v>521</v>
      </c>
      <c r="E19" s="132"/>
      <c r="F19" s="133" t="s">
        <v>528</v>
      </c>
      <c r="G19" s="125">
        <v>46210.0</v>
      </c>
    </row>
    <row r="20" ht="16.5" customHeight="1">
      <c r="A20" s="130" t="s">
        <v>520</v>
      </c>
      <c r="B20" s="131" t="s">
        <v>521</v>
      </c>
      <c r="C20" s="132"/>
      <c r="D20" s="131" t="s">
        <v>521</v>
      </c>
      <c r="E20" s="132"/>
      <c r="F20" s="133" t="s">
        <v>528</v>
      </c>
      <c r="G20" s="125">
        <v>46210.0</v>
      </c>
    </row>
    <row r="21" ht="16.5" customHeight="1">
      <c r="A21" s="130" t="s">
        <v>520</v>
      </c>
      <c r="B21" s="131" t="s">
        <v>521</v>
      </c>
      <c r="C21" s="132"/>
      <c r="D21" s="131" t="s">
        <v>521</v>
      </c>
      <c r="E21" s="132"/>
      <c r="F21" s="133" t="s">
        <v>528</v>
      </c>
      <c r="G21" s="125">
        <v>46211.0</v>
      </c>
    </row>
    <row r="22" ht="16.5" customHeight="1">
      <c r="A22" s="130" t="s">
        <v>523</v>
      </c>
      <c r="B22" s="131" t="s">
        <v>521</v>
      </c>
      <c r="C22" s="132"/>
      <c r="D22" s="131" t="s">
        <v>521</v>
      </c>
      <c r="E22" s="132"/>
      <c r="F22" s="133" t="s">
        <v>528</v>
      </c>
      <c r="G22" s="125">
        <v>46216.0</v>
      </c>
    </row>
    <row r="23" ht="16.5" customHeight="1">
      <c r="A23" s="130" t="s">
        <v>523</v>
      </c>
      <c r="B23" s="131" t="s">
        <v>521</v>
      </c>
      <c r="C23" s="132"/>
      <c r="D23" s="131" t="s">
        <v>521</v>
      </c>
      <c r="E23" s="132"/>
      <c r="F23" s="133" t="s">
        <v>528</v>
      </c>
      <c r="G23" s="125">
        <v>46217.0</v>
      </c>
    </row>
    <row r="24" ht="16.5" customHeight="1">
      <c r="A24" s="133" t="s">
        <v>529</v>
      </c>
      <c r="B24" s="131" t="s">
        <v>521</v>
      </c>
      <c r="C24" s="132"/>
      <c r="D24" s="131" t="s">
        <v>521</v>
      </c>
      <c r="E24" s="132"/>
      <c r="F24" s="133" t="s">
        <v>528</v>
      </c>
      <c r="G24" s="125">
        <v>46220.0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4" t="s">
        <v>1</v>
      </c>
      <c r="B1" s="134" t="s">
        <v>3</v>
      </c>
      <c r="C1" s="134" t="s">
        <v>6</v>
      </c>
      <c r="D1" s="134" t="s">
        <v>530</v>
      </c>
      <c r="E1" s="134" t="s">
        <v>87</v>
      </c>
      <c r="F1" s="134" t="s">
        <v>4</v>
      </c>
    </row>
    <row r="2">
      <c r="A2" s="135">
        <v>1.0</v>
      </c>
      <c r="B2" s="136" t="s">
        <v>11</v>
      </c>
      <c r="C2" s="136" t="s">
        <v>13</v>
      </c>
      <c r="D2" s="136" t="s">
        <v>423</v>
      </c>
      <c r="E2" s="136" t="s">
        <v>11</v>
      </c>
      <c r="F2" s="135">
        <v>1.0</v>
      </c>
    </row>
    <row r="3">
      <c r="A3" s="135">
        <v>1.0</v>
      </c>
      <c r="B3" s="136" t="s">
        <v>11</v>
      </c>
      <c r="C3" s="136" t="s">
        <v>13</v>
      </c>
      <c r="D3" s="136" t="s">
        <v>424</v>
      </c>
      <c r="E3" s="136" t="s">
        <v>11</v>
      </c>
      <c r="F3" s="135">
        <v>2.0</v>
      </c>
    </row>
    <row r="4">
      <c r="A4" s="135">
        <v>1.0</v>
      </c>
      <c r="B4" s="136" t="s">
        <v>11</v>
      </c>
      <c r="C4" s="136" t="s">
        <v>13</v>
      </c>
      <c r="D4" s="136" t="s">
        <v>425</v>
      </c>
      <c r="E4" s="136" t="s">
        <v>11</v>
      </c>
      <c r="F4" s="135">
        <v>2.0</v>
      </c>
    </row>
    <row r="5">
      <c r="A5" s="135">
        <v>1.0</v>
      </c>
      <c r="B5" s="136" t="s">
        <v>11</v>
      </c>
      <c r="C5" s="136" t="s">
        <v>13</v>
      </c>
      <c r="D5" s="136" t="s">
        <v>381</v>
      </c>
      <c r="E5" s="136" t="s">
        <v>13</v>
      </c>
      <c r="F5" s="135">
        <v>1.0</v>
      </c>
    </row>
    <row r="6">
      <c r="A6" s="135">
        <v>1.0</v>
      </c>
      <c r="B6" s="136" t="s">
        <v>11</v>
      </c>
      <c r="C6" s="136" t="s">
        <v>13</v>
      </c>
      <c r="D6" s="137"/>
      <c r="E6" s="137"/>
      <c r="F6" s="137"/>
    </row>
    <row r="7">
      <c r="A7" s="135">
        <v>1.0</v>
      </c>
      <c r="B7" s="136" t="s">
        <v>11</v>
      </c>
      <c r="C7" s="136" t="s">
        <v>13</v>
      </c>
      <c r="D7" s="137"/>
      <c r="E7" s="137"/>
      <c r="F7" s="137"/>
    </row>
    <row r="8">
      <c r="A8" s="135">
        <v>1.0</v>
      </c>
      <c r="B8" s="136" t="s">
        <v>11</v>
      </c>
      <c r="C8" s="136" t="s">
        <v>13</v>
      </c>
      <c r="D8" s="137"/>
      <c r="E8" s="137"/>
      <c r="F8" s="137"/>
    </row>
    <row r="9">
      <c r="A9" s="135">
        <v>1.0</v>
      </c>
      <c r="B9" s="136" t="s">
        <v>11</v>
      </c>
      <c r="C9" s="136" t="s">
        <v>13</v>
      </c>
      <c r="D9" s="137"/>
      <c r="E9" s="137"/>
      <c r="F9" s="137"/>
    </row>
    <row r="10">
      <c r="A10" s="135">
        <v>1.0</v>
      </c>
      <c r="B10" s="136" t="s">
        <v>11</v>
      </c>
      <c r="C10" s="136" t="s">
        <v>13</v>
      </c>
      <c r="D10" s="137"/>
      <c r="E10" s="137"/>
      <c r="F10" s="137"/>
    </row>
    <row r="11">
      <c r="A11" s="135">
        <v>1.0</v>
      </c>
      <c r="B11" s="136" t="s">
        <v>11</v>
      </c>
      <c r="C11" s="136" t="s">
        <v>13</v>
      </c>
      <c r="D11" s="137"/>
      <c r="E11" s="137"/>
      <c r="F11" s="137"/>
    </row>
    <row r="12">
      <c r="A12" s="138">
        <v>1.0</v>
      </c>
      <c r="B12" s="139" t="s">
        <v>16</v>
      </c>
      <c r="C12" s="139" t="s">
        <v>17</v>
      </c>
      <c r="D12" s="139" t="s">
        <v>161</v>
      </c>
      <c r="E12" s="139" t="s">
        <v>16</v>
      </c>
      <c r="F12" s="138">
        <v>1.0</v>
      </c>
    </row>
    <row r="13">
      <c r="A13" s="138">
        <v>1.0</v>
      </c>
      <c r="B13" s="139" t="s">
        <v>16</v>
      </c>
      <c r="C13" s="139" t="s">
        <v>17</v>
      </c>
      <c r="D13" s="139" t="s">
        <v>163</v>
      </c>
      <c r="E13" s="139" t="s">
        <v>16</v>
      </c>
      <c r="F13" s="138">
        <v>1.0</v>
      </c>
    </row>
    <row r="14">
      <c r="A14" s="138">
        <v>1.0</v>
      </c>
      <c r="B14" s="139" t="s">
        <v>16</v>
      </c>
      <c r="C14" s="139" t="s">
        <v>17</v>
      </c>
      <c r="D14" s="139" t="s">
        <v>166</v>
      </c>
      <c r="E14" s="139" t="s">
        <v>16</v>
      </c>
      <c r="F14" s="138">
        <v>1.0</v>
      </c>
    </row>
    <row r="15">
      <c r="A15" s="138">
        <v>1.0</v>
      </c>
      <c r="B15" s="139" t="s">
        <v>16</v>
      </c>
      <c r="C15" s="139" t="s">
        <v>17</v>
      </c>
      <c r="D15" s="139" t="s">
        <v>429</v>
      </c>
      <c r="E15" s="139" t="s">
        <v>17</v>
      </c>
      <c r="F15" s="138">
        <v>1.0</v>
      </c>
    </row>
    <row r="16">
      <c r="A16" s="138">
        <v>1.0</v>
      </c>
      <c r="B16" s="139" t="s">
        <v>16</v>
      </c>
      <c r="C16" s="139" t="s">
        <v>17</v>
      </c>
      <c r="D16" s="139" t="s">
        <v>431</v>
      </c>
      <c r="E16" s="139" t="s">
        <v>17</v>
      </c>
      <c r="F16" s="138">
        <v>1.0</v>
      </c>
    </row>
    <row r="17">
      <c r="A17" s="138">
        <v>1.0</v>
      </c>
      <c r="B17" s="139" t="s">
        <v>16</v>
      </c>
      <c r="C17" s="139" t="s">
        <v>17</v>
      </c>
      <c r="D17" s="139" t="s">
        <v>434</v>
      </c>
      <c r="E17" s="139" t="s">
        <v>17</v>
      </c>
      <c r="F17" s="138">
        <v>1.0</v>
      </c>
    </row>
    <row r="18">
      <c r="A18" s="138">
        <v>1.0</v>
      </c>
      <c r="B18" s="139" t="s">
        <v>16</v>
      </c>
      <c r="C18" s="139" t="s">
        <v>17</v>
      </c>
      <c r="D18" s="140"/>
      <c r="E18" s="140"/>
      <c r="F18" s="140"/>
    </row>
    <row r="19">
      <c r="A19" s="138">
        <v>1.0</v>
      </c>
      <c r="B19" s="139" t="s">
        <v>16</v>
      </c>
      <c r="C19" s="139" t="s">
        <v>17</v>
      </c>
      <c r="D19" s="140"/>
      <c r="E19" s="140"/>
      <c r="F19" s="140"/>
    </row>
    <row r="20">
      <c r="A20" s="138">
        <v>1.0</v>
      </c>
      <c r="B20" s="139" t="s">
        <v>16</v>
      </c>
      <c r="C20" s="139" t="s">
        <v>17</v>
      </c>
      <c r="D20" s="140"/>
      <c r="E20" s="140"/>
      <c r="F20" s="140"/>
    </row>
    <row r="21">
      <c r="A21" s="138">
        <v>1.0</v>
      </c>
      <c r="B21" s="139" t="s">
        <v>16</v>
      </c>
      <c r="C21" s="139" t="s">
        <v>17</v>
      </c>
      <c r="D21" s="140"/>
      <c r="E21" s="140"/>
      <c r="F21" s="140"/>
    </row>
    <row r="22">
      <c r="A22" s="135">
        <v>1.0</v>
      </c>
      <c r="B22" s="136" t="s">
        <v>20</v>
      </c>
      <c r="C22" s="136" t="s">
        <v>21</v>
      </c>
      <c r="D22" s="136" t="s">
        <v>373</v>
      </c>
      <c r="E22" s="136" t="s">
        <v>20</v>
      </c>
      <c r="F22" s="135">
        <v>1.0</v>
      </c>
    </row>
    <row r="23">
      <c r="A23" s="135">
        <v>1.0</v>
      </c>
      <c r="B23" s="136" t="s">
        <v>20</v>
      </c>
      <c r="C23" s="136" t="s">
        <v>21</v>
      </c>
      <c r="D23" s="136" t="s">
        <v>374</v>
      </c>
      <c r="E23" s="136" t="s">
        <v>20</v>
      </c>
      <c r="F23" s="135">
        <v>3.0</v>
      </c>
    </row>
    <row r="24">
      <c r="A24" s="135">
        <v>1.0</v>
      </c>
      <c r="B24" s="136" t="s">
        <v>20</v>
      </c>
      <c r="C24" s="136" t="s">
        <v>21</v>
      </c>
      <c r="D24" s="136" t="s">
        <v>142</v>
      </c>
      <c r="E24" s="136" t="s">
        <v>21</v>
      </c>
      <c r="F24" s="135">
        <v>2.0</v>
      </c>
    </row>
    <row r="25">
      <c r="A25" s="135">
        <v>1.0</v>
      </c>
      <c r="B25" s="136" t="s">
        <v>20</v>
      </c>
      <c r="C25" s="136" t="s">
        <v>21</v>
      </c>
      <c r="D25" s="136" t="s">
        <v>144</v>
      </c>
      <c r="E25" s="136" t="s">
        <v>21</v>
      </c>
      <c r="F25" s="135">
        <v>3.0</v>
      </c>
    </row>
    <row r="26">
      <c r="A26" s="135">
        <v>1.0</v>
      </c>
      <c r="B26" s="136" t="s">
        <v>20</v>
      </c>
      <c r="C26" s="136" t="s">
        <v>21</v>
      </c>
      <c r="D26" s="136" t="s">
        <v>154</v>
      </c>
      <c r="E26" s="136" t="s">
        <v>21</v>
      </c>
      <c r="F26" s="135">
        <v>1.0</v>
      </c>
    </row>
    <row r="27">
      <c r="A27" s="135">
        <v>1.0</v>
      </c>
      <c r="B27" s="136" t="s">
        <v>20</v>
      </c>
      <c r="C27" s="136" t="s">
        <v>21</v>
      </c>
      <c r="D27" s="136" t="s">
        <v>156</v>
      </c>
      <c r="E27" s="136" t="s">
        <v>21</v>
      </c>
      <c r="F27" s="135">
        <v>1.0</v>
      </c>
    </row>
    <row r="28">
      <c r="A28" s="135">
        <v>1.0</v>
      </c>
      <c r="B28" s="136" t="s">
        <v>20</v>
      </c>
      <c r="C28" s="136" t="s">
        <v>21</v>
      </c>
      <c r="D28" s="137"/>
      <c r="E28" s="137"/>
      <c r="F28" s="137"/>
    </row>
    <row r="29">
      <c r="A29" s="135">
        <v>1.0</v>
      </c>
      <c r="B29" s="136" t="s">
        <v>20</v>
      </c>
      <c r="C29" s="136" t="s">
        <v>21</v>
      </c>
      <c r="D29" s="137"/>
      <c r="E29" s="137"/>
      <c r="F29" s="137"/>
    </row>
    <row r="30">
      <c r="A30" s="135">
        <v>1.0</v>
      </c>
      <c r="B30" s="136" t="s">
        <v>20</v>
      </c>
      <c r="C30" s="136" t="s">
        <v>21</v>
      </c>
      <c r="D30" s="137"/>
      <c r="E30" s="137"/>
      <c r="F30" s="137"/>
    </row>
    <row r="31">
      <c r="A31" s="135">
        <v>1.0</v>
      </c>
      <c r="B31" s="136" t="s">
        <v>20</v>
      </c>
      <c r="C31" s="136" t="s">
        <v>21</v>
      </c>
      <c r="D31" s="137"/>
      <c r="E31" s="137"/>
      <c r="F31" s="137"/>
    </row>
    <row r="32">
      <c r="A32" s="138">
        <v>1.0</v>
      </c>
      <c r="B32" s="139" t="s">
        <v>24</v>
      </c>
      <c r="C32" s="139" t="s">
        <v>25</v>
      </c>
      <c r="D32" s="139" t="s">
        <v>397</v>
      </c>
      <c r="E32" s="139" t="s">
        <v>24</v>
      </c>
      <c r="F32" s="138">
        <v>2.0</v>
      </c>
    </row>
    <row r="33">
      <c r="A33" s="138">
        <v>1.0</v>
      </c>
      <c r="B33" s="139" t="s">
        <v>24</v>
      </c>
      <c r="C33" s="139" t="s">
        <v>25</v>
      </c>
      <c r="D33" s="139" t="s">
        <v>406</v>
      </c>
      <c r="E33" s="139" t="s">
        <v>24</v>
      </c>
      <c r="F33" s="138">
        <v>2.0</v>
      </c>
    </row>
    <row r="34">
      <c r="A34" s="138">
        <v>1.0</v>
      </c>
      <c r="B34" s="139" t="s">
        <v>24</v>
      </c>
      <c r="C34" s="139" t="s">
        <v>25</v>
      </c>
      <c r="D34" s="139" t="s">
        <v>409</v>
      </c>
      <c r="E34" s="139" t="s">
        <v>24</v>
      </c>
      <c r="F34" s="138">
        <v>1.0</v>
      </c>
    </row>
    <row r="35">
      <c r="A35" s="138">
        <v>1.0</v>
      </c>
      <c r="B35" s="139" t="s">
        <v>24</v>
      </c>
      <c r="C35" s="139" t="s">
        <v>25</v>
      </c>
      <c r="D35" s="139" t="s">
        <v>351</v>
      </c>
      <c r="E35" s="139" t="s">
        <v>25</v>
      </c>
      <c r="F35" s="138">
        <v>2.0</v>
      </c>
    </row>
    <row r="36">
      <c r="A36" s="138">
        <v>1.0</v>
      </c>
      <c r="B36" s="139" t="s">
        <v>24</v>
      </c>
      <c r="C36" s="139" t="s">
        <v>25</v>
      </c>
      <c r="D36" s="139" t="s">
        <v>356</v>
      </c>
      <c r="E36" s="139" t="s">
        <v>25</v>
      </c>
      <c r="F36" s="138">
        <v>2.0</v>
      </c>
    </row>
    <row r="37">
      <c r="A37" s="138">
        <v>1.0</v>
      </c>
      <c r="B37" s="139" t="s">
        <v>24</v>
      </c>
      <c r="C37" s="139" t="s">
        <v>25</v>
      </c>
      <c r="D37" s="139" t="s">
        <v>359</v>
      </c>
      <c r="E37" s="139" t="s">
        <v>25</v>
      </c>
      <c r="F37" s="138">
        <v>1.0</v>
      </c>
    </row>
    <row r="38">
      <c r="A38" s="138">
        <v>1.0</v>
      </c>
      <c r="B38" s="139" t="s">
        <v>24</v>
      </c>
      <c r="C38" s="139" t="s">
        <v>25</v>
      </c>
      <c r="D38" s="140"/>
      <c r="E38" s="140"/>
      <c r="F38" s="140"/>
    </row>
    <row r="39">
      <c r="A39" s="138">
        <v>1.0</v>
      </c>
      <c r="B39" s="139" t="s">
        <v>24</v>
      </c>
      <c r="C39" s="139" t="s">
        <v>25</v>
      </c>
      <c r="D39" s="140"/>
      <c r="E39" s="140"/>
      <c r="F39" s="140"/>
    </row>
    <row r="40">
      <c r="A40" s="138">
        <v>1.0</v>
      </c>
      <c r="B40" s="139" t="s">
        <v>24</v>
      </c>
      <c r="C40" s="139" t="s">
        <v>25</v>
      </c>
      <c r="D40" s="140"/>
      <c r="E40" s="140"/>
      <c r="F40" s="140"/>
    </row>
    <row r="41">
      <c r="A41" s="138">
        <v>1.0</v>
      </c>
      <c r="B41" s="139" t="s">
        <v>24</v>
      </c>
      <c r="C41" s="139" t="s">
        <v>25</v>
      </c>
      <c r="D41" s="140"/>
      <c r="E41" s="140"/>
      <c r="F41" s="140"/>
    </row>
    <row r="42">
      <c r="A42" s="135">
        <v>1.0</v>
      </c>
      <c r="B42" s="136" t="s">
        <v>27</v>
      </c>
      <c r="C42" s="136" t="s">
        <v>28</v>
      </c>
      <c r="D42" s="136" t="s">
        <v>226</v>
      </c>
      <c r="E42" s="136" t="s">
        <v>27</v>
      </c>
      <c r="F42" s="135">
        <v>1.0</v>
      </c>
    </row>
    <row r="43">
      <c r="A43" s="135">
        <v>1.0</v>
      </c>
      <c r="B43" s="136" t="s">
        <v>27</v>
      </c>
      <c r="C43" s="136" t="s">
        <v>28</v>
      </c>
      <c r="D43" s="136" t="s">
        <v>228</v>
      </c>
      <c r="E43" s="136" t="s">
        <v>27</v>
      </c>
      <c r="F43" s="135">
        <v>1.0</v>
      </c>
    </row>
    <row r="44">
      <c r="A44" s="135">
        <v>1.0</v>
      </c>
      <c r="B44" s="136" t="s">
        <v>27</v>
      </c>
      <c r="C44" s="136" t="s">
        <v>28</v>
      </c>
      <c r="D44" s="136" t="s">
        <v>460</v>
      </c>
      <c r="E44" s="136" t="s">
        <v>28</v>
      </c>
      <c r="F44" s="135">
        <v>1.0</v>
      </c>
    </row>
    <row r="45">
      <c r="A45" s="135">
        <v>1.0</v>
      </c>
      <c r="B45" s="136" t="s">
        <v>27</v>
      </c>
      <c r="C45" s="136" t="s">
        <v>28</v>
      </c>
      <c r="D45" s="137"/>
      <c r="E45" s="137"/>
      <c r="F45" s="137"/>
    </row>
    <row r="46">
      <c r="A46" s="135">
        <v>1.0</v>
      </c>
      <c r="B46" s="136" t="s">
        <v>27</v>
      </c>
      <c r="C46" s="136" t="s">
        <v>28</v>
      </c>
      <c r="D46" s="137"/>
      <c r="E46" s="137"/>
      <c r="F46" s="137"/>
    </row>
    <row r="47">
      <c r="A47" s="135">
        <v>1.0</v>
      </c>
      <c r="B47" s="136" t="s">
        <v>27</v>
      </c>
      <c r="C47" s="136" t="s">
        <v>28</v>
      </c>
      <c r="D47" s="137"/>
      <c r="E47" s="137"/>
      <c r="F47" s="137"/>
    </row>
    <row r="48">
      <c r="A48" s="135">
        <v>1.0</v>
      </c>
      <c r="B48" s="136" t="s">
        <v>27</v>
      </c>
      <c r="C48" s="136" t="s">
        <v>28</v>
      </c>
      <c r="D48" s="137"/>
      <c r="E48" s="137"/>
      <c r="F48" s="137"/>
    </row>
    <row r="49">
      <c r="A49" s="135">
        <v>1.0</v>
      </c>
      <c r="B49" s="136" t="s">
        <v>27</v>
      </c>
      <c r="C49" s="136" t="s">
        <v>28</v>
      </c>
      <c r="D49" s="137"/>
      <c r="E49" s="137"/>
      <c r="F49" s="137"/>
    </row>
    <row r="50">
      <c r="A50" s="135">
        <v>1.0</v>
      </c>
      <c r="B50" s="136" t="s">
        <v>27</v>
      </c>
      <c r="C50" s="136" t="s">
        <v>28</v>
      </c>
      <c r="D50" s="137"/>
      <c r="E50" s="137"/>
      <c r="F50" s="137"/>
    </row>
    <row r="51">
      <c r="A51" s="135">
        <v>1.0</v>
      </c>
      <c r="B51" s="136" t="s">
        <v>27</v>
      </c>
      <c r="C51" s="136" t="s">
        <v>28</v>
      </c>
      <c r="D51" s="137"/>
      <c r="E51" s="137"/>
      <c r="F51" s="137"/>
    </row>
    <row r="52">
      <c r="A52" s="138">
        <v>1.0</v>
      </c>
      <c r="B52" s="139" t="s">
        <v>30</v>
      </c>
      <c r="C52" s="139" t="s">
        <v>31</v>
      </c>
      <c r="D52" s="139" t="s">
        <v>254</v>
      </c>
      <c r="E52" s="139" t="s">
        <v>30</v>
      </c>
      <c r="F52" s="138">
        <v>2.0</v>
      </c>
    </row>
    <row r="53">
      <c r="A53" s="138">
        <v>1.0</v>
      </c>
      <c r="B53" s="139" t="s">
        <v>30</v>
      </c>
      <c r="C53" s="139" t="s">
        <v>31</v>
      </c>
      <c r="D53" s="139" t="s">
        <v>255</v>
      </c>
      <c r="E53" s="139" t="s">
        <v>30</v>
      </c>
      <c r="F53" s="138">
        <v>1.0</v>
      </c>
    </row>
    <row r="54">
      <c r="A54" s="138">
        <v>1.0</v>
      </c>
      <c r="B54" s="139" t="s">
        <v>30</v>
      </c>
      <c r="C54" s="139" t="s">
        <v>31</v>
      </c>
      <c r="D54" s="139" t="s">
        <v>262</v>
      </c>
      <c r="E54" s="139" t="s">
        <v>30</v>
      </c>
      <c r="F54" s="138">
        <v>2.0</v>
      </c>
    </row>
    <row r="55">
      <c r="A55" s="138">
        <v>1.0</v>
      </c>
      <c r="B55" s="139" t="s">
        <v>30</v>
      </c>
      <c r="C55" s="139" t="s">
        <v>31</v>
      </c>
      <c r="D55" s="139" t="s">
        <v>336</v>
      </c>
      <c r="E55" s="139" t="s">
        <v>31</v>
      </c>
      <c r="F55" s="138">
        <v>1.0</v>
      </c>
    </row>
    <row r="56">
      <c r="A56" s="138">
        <v>1.0</v>
      </c>
      <c r="B56" s="139" t="s">
        <v>30</v>
      </c>
      <c r="C56" s="139" t="s">
        <v>31</v>
      </c>
      <c r="D56" s="139" t="s">
        <v>343</v>
      </c>
      <c r="E56" s="139" t="s">
        <v>31</v>
      </c>
      <c r="F56" s="138">
        <v>2.0</v>
      </c>
    </row>
    <row r="57">
      <c r="A57" s="138">
        <v>1.0</v>
      </c>
      <c r="B57" s="139" t="s">
        <v>30</v>
      </c>
      <c r="C57" s="139" t="s">
        <v>31</v>
      </c>
      <c r="D57" s="140"/>
      <c r="E57" s="140"/>
      <c r="F57" s="140"/>
    </row>
    <row r="58">
      <c r="A58" s="138">
        <v>1.0</v>
      </c>
      <c r="B58" s="139" t="s">
        <v>30</v>
      </c>
      <c r="C58" s="139" t="s">
        <v>31</v>
      </c>
      <c r="D58" s="140"/>
      <c r="E58" s="140"/>
      <c r="F58" s="140"/>
    </row>
    <row r="59">
      <c r="A59" s="138">
        <v>1.0</v>
      </c>
      <c r="B59" s="139" t="s">
        <v>30</v>
      </c>
      <c r="C59" s="139" t="s">
        <v>31</v>
      </c>
      <c r="D59" s="140"/>
      <c r="E59" s="140"/>
      <c r="F59" s="140"/>
    </row>
    <row r="60">
      <c r="A60" s="138">
        <v>1.0</v>
      </c>
      <c r="B60" s="139" t="s">
        <v>30</v>
      </c>
      <c r="C60" s="139" t="s">
        <v>31</v>
      </c>
      <c r="D60" s="140"/>
      <c r="E60" s="140"/>
      <c r="F60" s="140"/>
    </row>
    <row r="61">
      <c r="A61" s="138">
        <v>1.0</v>
      </c>
      <c r="B61" s="139" t="s">
        <v>30</v>
      </c>
      <c r="C61" s="139" t="s">
        <v>31</v>
      </c>
      <c r="D61" s="140"/>
      <c r="E61" s="140"/>
      <c r="F61" s="140"/>
    </row>
    <row r="62">
      <c r="A62" s="135">
        <v>1.0</v>
      </c>
      <c r="B62" s="136" t="s">
        <v>33</v>
      </c>
      <c r="C62" s="136" t="s">
        <v>34</v>
      </c>
      <c r="D62" s="136" t="s">
        <v>241</v>
      </c>
      <c r="E62" s="136" t="s">
        <v>33</v>
      </c>
      <c r="F62" s="135">
        <v>1.0</v>
      </c>
    </row>
    <row r="63">
      <c r="A63" s="135">
        <v>1.0</v>
      </c>
      <c r="B63" s="136" t="s">
        <v>33</v>
      </c>
      <c r="C63" s="136" t="s">
        <v>34</v>
      </c>
      <c r="D63" s="136" t="s">
        <v>243</v>
      </c>
      <c r="E63" s="136" t="s">
        <v>33</v>
      </c>
      <c r="F63" s="135">
        <v>1.0</v>
      </c>
    </row>
    <row r="64">
      <c r="A64" s="135">
        <v>1.0</v>
      </c>
      <c r="B64" s="136" t="s">
        <v>33</v>
      </c>
      <c r="C64" s="136" t="s">
        <v>34</v>
      </c>
      <c r="D64" s="136" t="s">
        <v>245</v>
      </c>
      <c r="E64" s="136" t="s">
        <v>33</v>
      </c>
      <c r="F64" s="135">
        <v>2.0</v>
      </c>
    </row>
    <row r="65">
      <c r="A65" s="135">
        <v>1.0</v>
      </c>
      <c r="B65" s="136" t="s">
        <v>33</v>
      </c>
      <c r="C65" s="136" t="s">
        <v>34</v>
      </c>
      <c r="D65" s="136" t="s">
        <v>246</v>
      </c>
      <c r="E65" s="136" t="s">
        <v>33</v>
      </c>
      <c r="F65" s="135">
        <v>1.0</v>
      </c>
    </row>
    <row r="66">
      <c r="A66" s="135">
        <v>1.0</v>
      </c>
      <c r="B66" s="136" t="s">
        <v>33</v>
      </c>
      <c r="C66" s="136" t="s">
        <v>34</v>
      </c>
      <c r="D66" s="136" t="s">
        <v>247</v>
      </c>
      <c r="E66" s="136" t="s">
        <v>33</v>
      </c>
      <c r="F66" s="135">
        <v>1.0</v>
      </c>
    </row>
    <row r="67">
      <c r="A67" s="135">
        <v>1.0</v>
      </c>
      <c r="B67" s="136" t="s">
        <v>33</v>
      </c>
      <c r="C67" s="136" t="s">
        <v>34</v>
      </c>
      <c r="D67" s="136" t="s">
        <v>250</v>
      </c>
      <c r="E67" s="136" t="s">
        <v>33</v>
      </c>
      <c r="F67" s="136">
        <v>5.0</v>
      </c>
    </row>
    <row r="68">
      <c r="A68" s="135">
        <v>1.0</v>
      </c>
      <c r="B68" s="136" t="s">
        <v>33</v>
      </c>
      <c r="C68" s="136" t="s">
        <v>34</v>
      </c>
      <c r="D68" s="136" t="s">
        <v>495</v>
      </c>
      <c r="E68" s="136" t="s">
        <v>34</v>
      </c>
      <c r="F68" s="135">
        <v>1.0</v>
      </c>
    </row>
    <row r="69">
      <c r="A69" s="135">
        <v>1.0</v>
      </c>
      <c r="B69" s="136" t="s">
        <v>33</v>
      </c>
      <c r="C69" s="136" t="s">
        <v>34</v>
      </c>
      <c r="D69" s="136" t="s">
        <v>496</v>
      </c>
      <c r="E69" s="136" t="s">
        <v>34</v>
      </c>
      <c r="F69" s="135">
        <v>1.0</v>
      </c>
    </row>
    <row r="70">
      <c r="A70" s="135">
        <v>1.0</v>
      </c>
      <c r="B70" s="136" t="s">
        <v>33</v>
      </c>
      <c r="C70" s="136" t="s">
        <v>34</v>
      </c>
      <c r="D70" s="137"/>
      <c r="E70" s="137"/>
      <c r="F70" s="137"/>
    </row>
    <row r="71">
      <c r="A71" s="135">
        <v>1.0</v>
      </c>
      <c r="B71" s="136" t="s">
        <v>33</v>
      </c>
      <c r="C71" s="136" t="s">
        <v>34</v>
      </c>
      <c r="D71" s="137"/>
      <c r="E71" s="137"/>
      <c r="F71" s="137"/>
    </row>
    <row r="72">
      <c r="A72" s="138">
        <v>1.0</v>
      </c>
      <c r="B72" s="139" t="s">
        <v>36</v>
      </c>
      <c r="C72" s="139" t="s">
        <v>37</v>
      </c>
      <c r="D72" s="139" t="s">
        <v>278</v>
      </c>
      <c r="E72" s="139" t="s">
        <v>36</v>
      </c>
      <c r="F72" s="138">
        <v>1.0</v>
      </c>
    </row>
    <row r="73">
      <c r="A73" s="138">
        <v>1.0</v>
      </c>
      <c r="B73" s="139" t="s">
        <v>36</v>
      </c>
      <c r="C73" s="139" t="s">
        <v>37</v>
      </c>
      <c r="D73" s="139" t="s">
        <v>279</v>
      </c>
      <c r="E73" s="139" t="s">
        <v>36</v>
      </c>
      <c r="F73" s="138">
        <v>1.0</v>
      </c>
    </row>
    <row r="74">
      <c r="A74" s="138">
        <v>1.0</v>
      </c>
      <c r="B74" s="139" t="s">
        <v>36</v>
      </c>
      <c r="C74" s="139" t="s">
        <v>37</v>
      </c>
      <c r="D74" s="139" t="s">
        <v>213</v>
      </c>
      <c r="E74" s="139" t="s">
        <v>37</v>
      </c>
      <c r="F74" s="138">
        <v>1.0</v>
      </c>
    </row>
    <row r="75">
      <c r="A75" s="138">
        <v>1.0</v>
      </c>
      <c r="B75" s="139" t="s">
        <v>36</v>
      </c>
      <c r="C75" s="139" t="s">
        <v>37</v>
      </c>
      <c r="D75" s="139" t="s">
        <v>218</v>
      </c>
      <c r="E75" s="139" t="s">
        <v>37</v>
      </c>
      <c r="F75" s="138">
        <v>1.0</v>
      </c>
    </row>
    <row r="76">
      <c r="A76" s="138">
        <v>1.0</v>
      </c>
      <c r="B76" s="139" t="s">
        <v>36</v>
      </c>
      <c r="C76" s="139" t="s">
        <v>37</v>
      </c>
      <c r="D76" s="139" t="s">
        <v>221</v>
      </c>
      <c r="E76" s="139" t="s">
        <v>37</v>
      </c>
      <c r="F76" s="138">
        <v>1.0</v>
      </c>
    </row>
    <row r="77">
      <c r="A77" s="138">
        <v>1.0</v>
      </c>
      <c r="B77" s="139" t="s">
        <v>36</v>
      </c>
      <c r="C77" s="139" t="s">
        <v>37</v>
      </c>
      <c r="D77" s="140"/>
      <c r="E77" s="140"/>
      <c r="F77" s="140"/>
    </row>
    <row r="78">
      <c r="A78" s="138">
        <v>1.0</v>
      </c>
      <c r="B78" s="139" t="s">
        <v>36</v>
      </c>
      <c r="C78" s="139" t="s">
        <v>37</v>
      </c>
      <c r="D78" s="140"/>
      <c r="E78" s="140"/>
      <c r="F78" s="140"/>
    </row>
    <row r="79">
      <c r="A79" s="138">
        <v>1.0</v>
      </c>
      <c r="B79" s="139" t="s">
        <v>36</v>
      </c>
      <c r="C79" s="139" t="s">
        <v>37</v>
      </c>
      <c r="D79" s="140"/>
      <c r="E79" s="140"/>
      <c r="F79" s="140"/>
    </row>
    <row r="80">
      <c r="A80" s="138">
        <v>1.0</v>
      </c>
      <c r="B80" s="139" t="s">
        <v>36</v>
      </c>
      <c r="C80" s="139" t="s">
        <v>37</v>
      </c>
      <c r="D80" s="140"/>
      <c r="E80" s="140"/>
      <c r="F80" s="140"/>
    </row>
    <row r="81">
      <c r="A81" s="138">
        <v>1.0</v>
      </c>
      <c r="B81" s="139" t="s">
        <v>36</v>
      </c>
      <c r="C81" s="139" t="s">
        <v>37</v>
      </c>
      <c r="D81" s="140"/>
      <c r="E81" s="140"/>
      <c r="F81" s="140"/>
    </row>
    <row r="82">
      <c r="A82" s="135">
        <v>1.0</v>
      </c>
      <c r="B82" s="136" t="s">
        <v>40</v>
      </c>
      <c r="C82" s="136" t="s">
        <v>41</v>
      </c>
      <c r="D82" s="136" t="s">
        <v>304</v>
      </c>
      <c r="E82" s="136" t="s">
        <v>40</v>
      </c>
      <c r="F82" s="135">
        <v>2.0</v>
      </c>
    </row>
    <row r="83">
      <c r="A83" s="135">
        <v>1.0</v>
      </c>
      <c r="B83" s="136" t="s">
        <v>40</v>
      </c>
      <c r="C83" s="136" t="s">
        <v>41</v>
      </c>
      <c r="D83" s="136" t="s">
        <v>306</v>
      </c>
      <c r="E83" s="136" t="s">
        <v>40</v>
      </c>
      <c r="F83" s="135">
        <v>3.0</v>
      </c>
    </row>
    <row r="84">
      <c r="A84" s="135">
        <v>1.0</v>
      </c>
      <c r="B84" s="136" t="s">
        <v>40</v>
      </c>
      <c r="C84" s="136" t="s">
        <v>41</v>
      </c>
      <c r="D84" s="136" t="s">
        <v>311</v>
      </c>
      <c r="E84" s="136" t="s">
        <v>40</v>
      </c>
      <c r="F84" s="135">
        <v>3.0</v>
      </c>
    </row>
    <row r="85">
      <c r="A85" s="135">
        <v>1.0</v>
      </c>
      <c r="B85" s="136" t="s">
        <v>40</v>
      </c>
      <c r="C85" s="136" t="s">
        <v>41</v>
      </c>
      <c r="D85" s="136" t="s">
        <v>312</v>
      </c>
      <c r="E85" s="136" t="s">
        <v>40</v>
      </c>
      <c r="F85" s="135">
        <v>2.0</v>
      </c>
    </row>
    <row r="86">
      <c r="A86" s="135">
        <v>1.0</v>
      </c>
      <c r="B86" s="136" t="s">
        <v>40</v>
      </c>
      <c r="C86" s="136" t="s">
        <v>41</v>
      </c>
      <c r="D86" s="136" t="s">
        <v>314</v>
      </c>
      <c r="E86" s="136" t="s">
        <v>40</v>
      </c>
      <c r="F86" s="135">
        <v>1.0</v>
      </c>
    </row>
    <row r="87">
      <c r="A87" s="135">
        <v>1.0</v>
      </c>
      <c r="B87" s="136" t="s">
        <v>40</v>
      </c>
      <c r="C87" s="136" t="s">
        <v>41</v>
      </c>
      <c r="D87" s="136" t="s">
        <v>173</v>
      </c>
      <c r="E87" s="136" t="s">
        <v>41</v>
      </c>
      <c r="F87" s="135">
        <v>1.0</v>
      </c>
    </row>
    <row r="88">
      <c r="A88" s="135">
        <v>1.0</v>
      </c>
      <c r="B88" s="136" t="s">
        <v>40</v>
      </c>
      <c r="C88" s="136" t="s">
        <v>41</v>
      </c>
      <c r="D88" s="136" t="s">
        <v>185</v>
      </c>
      <c r="E88" s="136" t="s">
        <v>41</v>
      </c>
      <c r="F88" s="135">
        <v>1.0</v>
      </c>
    </row>
    <row r="89">
      <c r="A89" s="135">
        <v>1.0</v>
      </c>
      <c r="B89" s="136" t="s">
        <v>40</v>
      </c>
      <c r="C89" s="136" t="s">
        <v>41</v>
      </c>
      <c r="D89" s="137"/>
      <c r="E89" s="137"/>
      <c r="F89" s="137"/>
    </row>
    <row r="90">
      <c r="A90" s="135">
        <v>1.0</v>
      </c>
      <c r="B90" s="136" t="s">
        <v>40</v>
      </c>
      <c r="C90" s="136" t="s">
        <v>41</v>
      </c>
      <c r="D90" s="137"/>
      <c r="E90" s="137"/>
      <c r="F90" s="137"/>
    </row>
    <row r="91">
      <c r="A91" s="135">
        <v>1.0</v>
      </c>
      <c r="B91" s="136" t="s">
        <v>40</v>
      </c>
      <c r="C91" s="136" t="s">
        <v>41</v>
      </c>
      <c r="D91" s="137"/>
      <c r="E91" s="137"/>
      <c r="F91" s="137"/>
    </row>
    <row r="92">
      <c r="A92" s="138">
        <v>1.0</v>
      </c>
      <c r="B92" s="139" t="s">
        <v>43</v>
      </c>
      <c r="C92" s="139" t="s">
        <v>44</v>
      </c>
      <c r="D92" s="141" t="s">
        <v>438</v>
      </c>
      <c r="E92" s="139" t="s">
        <v>43</v>
      </c>
      <c r="F92" s="139">
        <v>2.0</v>
      </c>
    </row>
    <row r="93">
      <c r="A93" s="138">
        <v>1.0</v>
      </c>
      <c r="B93" s="139" t="s">
        <v>43</v>
      </c>
      <c r="C93" s="139" t="s">
        <v>44</v>
      </c>
      <c r="D93" s="139" t="s">
        <v>455</v>
      </c>
      <c r="E93" s="139" t="s">
        <v>43</v>
      </c>
      <c r="F93" s="139">
        <v>1.0</v>
      </c>
    </row>
    <row r="94">
      <c r="A94" s="138">
        <v>1.0</v>
      </c>
      <c r="B94" s="139" t="s">
        <v>43</v>
      </c>
      <c r="C94" s="139" t="s">
        <v>44</v>
      </c>
      <c r="D94" s="139" t="s">
        <v>510</v>
      </c>
      <c r="E94" s="139" t="s">
        <v>44</v>
      </c>
      <c r="F94" s="139">
        <v>1.0</v>
      </c>
    </row>
    <row r="95">
      <c r="A95" s="138">
        <v>1.0</v>
      </c>
      <c r="B95" s="139" t="s">
        <v>43</v>
      </c>
      <c r="C95" s="139" t="s">
        <v>44</v>
      </c>
      <c r="D95" s="139" t="s">
        <v>502</v>
      </c>
      <c r="E95" s="139" t="s">
        <v>44</v>
      </c>
      <c r="F95" s="139">
        <v>1.0</v>
      </c>
    </row>
    <row r="96">
      <c r="A96" s="138">
        <v>1.0</v>
      </c>
      <c r="B96" s="139" t="s">
        <v>43</v>
      </c>
      <c r="C96" s="139" t="s">
        <v>44</v>
      </c>
      <c r="D96" s="140"/>
      <c r="E96" s="140"/>
      <c r="F96" s="140"/>
    </row>
    <row r="97">
      <c r="A97" s="138">
        <v>1.0</v>
      </c>
      <c r="B97" s="139" t="s">
        <v>43</v>
      </c>
      <c r="C97" s="139" t="s">
        <v>44</v>
      </c>
      <c r="D97" s="140"/>
      <c r="E97" s="140"/>
      <c r="F97" s="140"/>
    </row>
    <row r="98">
      <c r="A98" s="138">
        <v>1.0</v>
      </c>
      <c r="B98" s="139" t="s">
        <v>43</v>
      </c>
      <c r="C98" s="139" t="s">
        <v>44</v>
      </c>
      <c r="D98" s="140"/>
      <c r="E98" s="140"/>
      <c r="F98" s="140"/>
    </row>
    <row r="99">
      <c r="A99" s="138">
        <v>1.0</v>
      </c>
      <c r="B99" s="139" t="s">
        <v>43</v>
      </c>
      <c r="C99" s="139" t="s">
        <v>44</v>
      </c>
      <c r="D99" s="140"/>
      <c r="E99" s="140"/>
      <c r="F99" s="140"/>
    </row>
    <row r="100">
      <c r="A100" s="138">
        <v>1.0</v>
      </c>
      <c r="B100" s="139" t="s">
        <v>43</v>
      </c>
      <c r="C100" s="139" t="s">
        <v>44</v>
      </c>
      <c r="D100" s="140"/>
      <c r="E100" s="140"/>
      <c r="F100" s="140"/>
    </row>
    <row r="101">
      <c r="A101" s="138">
        <v>1.0</v>
      </c>
      <c r="B101" s="139" t="s">
        <v>43</v>
      </c>
      <c r="C101" s="139" t="s">
        <v>44</v>
      </c>
      <c r="D101" s="140"/>
      <c r="E101" s="140"/>
      <c r="F101" s="140"/>
    </row>
    <row r="102">
      <c r="A102" s="135">
        <v>1.0</v>
      </c>
      <c r="B102" s="136" t="s">
        <v>46</v>
      </c>
      <c r="C102" s="136" t="s">
        <v>47</v>
      </c>
      <c r="D102" s="136" t="s">
        <v>328</v>
      </c>
      <c r="E102" s="136" t="s">
        <v>47</v>
      </c>
      <c r="F102" s="136">
        <v>4.0</v>
      </c>
    </row>
    <row r="103">
      <c r="A103" s="135">
        <v>1.0</v>
      </c>
      <c r="B103" s="136" t="s">
        <v>46</v>
      </c>
      <c r="C103" s="136" t="s">
        <v>47</v>
      </c>
      <c r="D103" s="136" t="s">
        <v>329</v>
      </c>
      <c r="E103" s="136" t="s">
        <v>47</v>
      </c>
      <c r="F103" s="136">
        <v>3.0</v>
      </c>
    </row>
    <row r="104">
      <c r="A104" s="135">
        <v>1.0</v>
      </c>
      <c r="B104" s="136" t="s">
        <v>46</v>
      </c>
      <c r="C104" s="136" t="s">
        <v>47</v>
      </c>
      <c r="D104" s="136" t="s">
        <v>327</v>
      </c>
      <c r="E104" s="136" t="s">
        <v>47</v>
      </c>
      <c r="F104" s="136">
        <v>2.0</v>
      </c>
    </row>
    <row r="105">
      <c r="A105" s="135">
        <v>1.0</v>
      </c>
      <c r="B105" s="136" t="s">
        <v>46</v>
      </c>
      <c r="C105" s="136" t="s">
        <v>47</v>
      </c>
      <c r="D105" s="136" t="s">
        <v>199</v>
      </c>
      <c r="E105" s="136" t="s">
        <v>46</v>
      </c>
      <c r="F105" s="136">
        <v>2.0</v>
      </c>
    </row>
    <row r="106">
      <c r="A106" s="135">
        <v>1.0</v>
      </c>
      <c r="B106" s="136" t="s">
        <v>46</v>
      </c>
      <c r="C106" s="136" t="s">
        <v>47</v>
      </c>
      <c r="D106" s="136" t="s">
        <v>204</v>
      </c>
      <c r="E106" s="136" t="s">
        <v>46</v>
      </c>
      <c r="F106" s="136">
        <v>2.0</v>
      </c>
    </row>
    <row r="107">
      <c r="A107" s="135">
        <v>1.0</v>
      </c>
      <c r="B107" s="136" t="s">
        <v>46</v>
      </c>
      <c r="C107" s="136" t="s">
        <v>47</v>
      </c>
      <c r="D107" s="137"/>
      <c r="E107" s="137"/>
      <c r="F107" s="137"/>
    </row>
    <row r="108">
      <c r="A108" s="135">
        <v>1.0</v>
      </c>
      <c r="B108" s="136" t="s">
        <v>46</v>
      </c>
      <c r="C108" s="136" t="s">
        <v>47</v>
      </c>
      <c r="D108" s="137"/>
      <c r="E108" s="137"/>
      <c r="F108" s="137"/>
    </row>
    <row r="109">
      <c r="A109" s="135">
        <v>1.0</v>
      </c>
      <c r="B109" s="136" t="s">
        <v>46</v>
      </c>
      <c r="C109" s="136" t="s">
        <v>47</v>
      </c>
      <c r="D109" s="137"/>
      <c r="E109" s="137"/>
      <c r="F109" s="137"/>
    </row>
    <row r="110">
      <c r="A110" s="135">
        <v>1.0</v>
      </c>
      <c r="B110" s="136" t="s">
        <v>46</v>
      </c>
      <c r="C110" s="136" t="s">
        <v>47</v>
      </c>
      <c r="D110" s="137"/>
      <c r="E110" s="137"/>
      <c r="F110" s="137"/>
    </row>
    <row r="111">
      <c r="A111" s="135">
        <v>1.0</v>
      </c>
      <c r="B111" s="136" t="s">
        <v>46</v>
      </c>
      <c r="C111" s="136" t="s">
        <v>47</v>
      </c>
      <c r="D111" s="137"/>
      <c r="E111" s="137"/>
      <c r="F111" s="137"/>
    </row>
    <row r="112">
      <c r="A112" s="138">
        <v>1.0</v>
      </c>
      <c r="B112" s="139" t="s">
        <v>49</v>
      </c>
      <c r="C112" s="139" t="s">
        <v>50</v>
      </c>
      <c r="D112" s="139" t="s">
        <v>476</v>
      </c>
      <c r="E112" s="139" t="s">
        <v>49</v>
      </c>
      <c r="F112" s="139">
        <v>2.0</v>
      </c>
    </row>
    <row r="113">
      <c r="A113" s="138">
        <v>1.0</v>
      </c>
      <c r="B113" s="139" t="s">
        <v>49</v>
      </c>
      <c r="C113" s="139" t="s">
        <v>50</v>
      </c>
      <c r="D113" s="139" t="s">
        <v>474</v>
      </c>
      <c r="E113" s="139" t="s">
        <v>49</v>
      </c>
      <c r="F113" s="139">
        <v>1.0</v>
      </c>
    </row>
    <row r="114">
      <c r="A114" s="138">
        <v>1.0</v>
      </c>
      <c r="B114" s="139" t="s">
        <v>49</v>
      </c>
      <c r="C114" s="139" t="s">
        <v>50</v>
      </c>
      <c r="D114" s="139" t="s">
        <v>483</v>
      </c>
      <c r="E114" s="139" t="s">
        <v>49</v>
      </c>
      <c r="F114" s="139">
        <v>1.0</v>
      </c>
    </row>
    <row r="115">
      <c r="A115" s="138">
        <v>1.0</v>
      </c>
      <c r="B115" s="139" t="s">
        <v>49</v>
      </c>
      <c r="C115" s="139" t="s">
        <v>50</v>
      </c>
      <c r="D115" s="139" t="s">
        <v>292</v>
      </c>
      <c r="E115" s="139" t="s">
        <v>50</v>
      </c>
      <c r="F115" s="139">
        <v>2.0</v>
      </c>
    </row>
    <row r="116">
      <c r="A116" s="138">
        <v>1.0</v>
      </c>
      <c r="B116" s="139" t="s">
        <v>49</v>
      </c>
      <c r="C116" s="139" t="s">
        <v>50</v>
      </c>
      <c r="D116" s="139" t="s">
        <v>301</v>
      </c>
      <c r="E116" s="139" t="s">
        <v>50</v>
      </c>
      <c r="F116" s="139">
        <v>1.0</v>
      </c>
    </row>
    <row r="117">
      <c r="A117" s="138">
        <v>1.0</v>
      </c>
      <c r="B117" s="139" t="s">
        <v>49</v>
      </c>
      <c r="C117" s="139" t="s">
        <v>50</v>
      </c>
      <c r="D117" s="139" t="s">
        <v>300</v>
      </c>
      <c r="E117" s="139" t="s">
        <v>50</v>
      </c>
      <c r="F117" s="139">
        <v>1.0</v>
      </c>
    </row>
    <row r="118">
      <c r="A118" s="138">
        <v>1.0</v>
      </c>
      <c r="B118" s="139" t="s">
        <v>49</v>
      </c>
      <c r="C118" s="139" t="s">
        <v>50</v>
      </c>
      <c r="D118" s="139" t="s">
        <v>298</v>
      </c>
      <c r="E118" s="139" t="s">
        <v>50</v>
      </c>
      <c r="F118" s="139">
        <v>1.0</v>
      </c>
    </row>
    <row r="119">
      <c r="A119" s="138">
        <v>1.0</v>
      </c>
      <c r="B119" s="139" t="s">
        <v>49</v>
      </c>
      <c r="C119" s="139" t="s">
        <v>50</v>
      </c>
      <c r="D119" s="139" t="s">
        <v>289</v>
      </c>
      <c r="E119" s="139" t="s">
        <v>50</v>
      </c>
      <c r="F119" s="139">
        <v>1.0</v>
      </c>
    </row>
    <row r="120">
      <c r="A120" s="138">
        <v>1.0</v>
      </c>
      <c r="B120" s="139" t="s">
        <v>49</v>
      </c>
      <c r="C120" s="139" t="s">
        <v>50</v>
      </c>
      <c r="D120" s="139" t="s">
        <v>299</v>
      </c>
      <c r="E120" s="139" t="s">
        <v>50</v>
      </c>
      <c r="F120" s="139">
        <v>1.0</v>
      </c>
    </row>
    <row r="121">
      <c r="A121" s="138">
        <v>1.0</v>
      </c>
      <c r="B121" s="139" t="s">
        <v>49</v>
      </c>
      <c r="C121" s="139" t="s">
        <v>50</v>
      </c>
      <c r="D121" s="140"/>
      <c r="E121" s="140"/>
      <c r="F121" s="140"/>
    </row>
    <row r="122">
      <c r="A122" s="135">
        <v>2.0</v>
      </c>
      <c r="B122" s="136" t="s">
        <v>24</v>
      </c>
      <c r="C122" s="136" t="s">
        <v>21</v>
      </c>
      <c r="D122" s="136" t="s">
        <v>142</v>
      </c>
      <c r="E122" s="136" t="s">
        <v>21</v>
      </c>
      <c r="F122" s="136">
        <v>1.0</v>
      </c>
    </row>
    <row r="123">
      <c r="A123" s="135">
        <v>2.0</v>
      </c>
      <c r="B123" s="136" t="s">
        <v>24</v>
      </c>
      <c r="C123" s="136" t="s">
        <v>21</v>
      </c>
      <c r="D123" s="136" t="s">
        <v>406</v>
      </c>
      <c r="E123" s="136" t="s">
        <v>24</v>
      </c>
      <c r="F123" s="136">
        <v>2.0</v>
      </c>
    </row>
    <row r="124">
      <c r="A124" s="135">
        <v>2.0</v>
      </c>
      <c r="B124" s="136" t="s">
        <v>24</v>
      </c>
      <c r="C124" s="136" t="s">
        <v>21</v>
      </c>
      <c r="D124" s="136" t="s">
        <v>148</v>
      </c>
      <c r="E124" s="136" t="s">
        <v>21</v>
      </c>
      <c r="F124" s="136">
        <v>1.0</v>
      </c>
    </row>
    <row r="125">
      <c r="A125" s="135">
        <v>2.0</v>
      </c>
      <c r="B125" s="136" t="s">
        <v>24</v>
      </c>
      <c r="C125" s="136" t="s">
        <v>21</v>
      </c>
      <c r="D125" s="136" t="s">
        <v>143</v>
      </c>
      <c r="E125" s="136" t="s">
        <v>21</v>
      </c>
      <c r="F125" s="136">
        <v>1.0</v>
      </c>
    </row>
    <row r="126">
      <c r="A126" s="135">
        <v>2.0</v>
      </c>
      <c r="B126" s="136" t="s">
        <v>24</v>
      </c>
      <c r="C126" s="136" t="s">
        <v>21</v>
      </c>
      <c r="D126" s="136" t="s">
        <v>401</v>
      </c>
      <c r="E126" s="136" t="s">
        <v>24</v>
      </c>
      <c r="F126" s="136">
        <v>1.0</v>
      </c>
    </row>
    <row r="127">
      <c r="A127" s="135">
        <v>2.0</v>
      </c>
      <c r="B127" s="136" t="s">
        <v>24</v>
      </c>
      <c r="C127" s="136" t="s">
        <v>21</v>
      </c>
      <c r="D127" s="137"/>
      <c r="E127" s="137"/>
      <c r="F127" s="137"/>
    </row>
    <row r="128">
      <c r="A128" s="135">
        <v>2.0</v>
      </c>
      <c r="B128" s="136" t="s">
        <v>24</v>
      </c>
      <c r="C128" s="136" t="s">
        <v>21</v>
      </c>
      <c r="D128" s="137"/>
      <c r="E128" s="137"/>
      <c r="F128" s="137"/>
    </row>
    <row r="129">
      <c r="A129" s="135">
        <v>2.0</v>
      </c>
      <c r="B129" s="136" t="s">
        <v>24</v>
      </c>
      <c r="C129" s="136" t="s">
        <v>21</v>
      </c>
      <c r="D129" s="137"/>
      <c r="E129" s="137"/>
      <c r="F129" s="137"/>
    </row>
    <row r="130">
      <c r="A130" s="135">
        <v>2.0</v>
      </c>
      <c r="B130" s="136" t="s">
        <v>24</v>
      </c>
      <c r="C130" s="136" t="s">
        <v>21</v>
      </c>
      <c r="D130" s="137"/>
      <c r="E130" s="137"/>
      <c r="F130" s="137"/>
    </row>
    <row r="131">
      <c r="A131" s="135">
        <v>2.0</v>
      </c>
      <c r="B131" s="136" t="s">
        <v>24</v>
      </c>
      <c r="C131" s="136" t="s">
        <v>21</v>
      </c>
      <c r="D131" s="137"/>
      <c r="E131" s="137"/>
      <c r="F131" s="137"/>
    </row>
    <row r="132">
      <c r="A132" s="138">
        <v>2.0</v>
      </c>
      <c r="B132" s="139" t="s">
        <v>17</v>
      </c>
      <c r="C132" s="139" t="s">
        <v>27</v>
      </c>
      <c r="D132" s="139" t="s">
        <v>431</v>
      </c>
      <c r="E132" s="139" t="s">
        <v>17</v>
      </c>
      <c r="F132" s="139">
        <v>1.0</v>
      </c>
    </row>
    <row r="133">
      <c r="A133" s="138">
        <v>2.0</v>
      </c>
      <c r="B133" s="139" t="s">
        <v>17</v>
      </c>
      <c r="C133" s="139" t="s">
        <v>27</v>
      </c>
      <c r="D133" s="139" t="s">
        <v>228</v>
      </c>
      <c r="E133" s="139" t="s">
        <v>27</v>
      </c>
      <c r="F133" s="139">
        <v>1.0</v>
      </c>
    </row>
    <row r="134">
      <c r="A134" s="138">
        <v>2.0</v>
      </c>
      <c r="B134" s="139" t="s">
        <v>17</v>
      </c>
      <c r="C134" s="139" t="s">
        <v>27</v>
      </c>
      <c r="D134" s="139" t="s">
        <v>434</v>
      </c>
      <c r="E134" s="139" t="s">
        <v>17</v>
      </c>
      <c r="F134" s="139">
        <v>1.0</v>
      </c>
    </row>
    <row r="135">
      <c r="A135" s="138">
        <v>2.0</v>
      </c>
      <c r="B135" s="139" t="s">
        <v>17</v>
      </c>
      <c r="C135" s="139" t="s">
        <v>27</v>
      </c>
      <c r="D135" s="140"/>
      <c r="E135" s="140"/>
      <c r="F135" s="140"/>
    </row>
    <row r="136">
      <c r="A136" s="138">
        <v>2.0</v>
      </c>
      <c r="B136" s="139" t="s">
        <v>17</v>
      </c>
      <c r="C136" s="139" t="s">
        <v>27</v>
      </c>
      <c r="D136" s="140"/>
      <c r="E136" s="140"/>
      <c r="F136" s="140"/>
    </row>
    <row r="137">
      <c r="A137" s="138">
        <v>2.0</v>
      </c>
      <c r="B137" s="139" t="s">
        <v>17</v>
      </c>
      <c r="C137" s="139" t="s">
        <v>27</v>
      </c>
      <c r="D137" s="140"/>
      <c r="E137" s="140"/>
      <c r="F137" s="140"/>
    </row>
    <row r="138">
      <c r="A138" s="138">
        <v>2.0</v>
      </c>
      <c r="B138" s="139" t="s">
        <v>17</v>
      </c>
      <c r="C138" s="139" t="s">
        <v>27</v>
      </c>
      <c r="D138" s="140"/>
      <c r="E138" s="140"/>
      <c r="F138" s="140"/>
    </row>
    <row r="139">
      <c r="A139" s="138">
        <v>2.0</v>
      </c>
      <c r="B139" s="139" t="s">
        <v>17</v>
      </c>
      <c r="C139" s="139" t="s">
        <v>27</v>
      </c>
      <c r="D139" s="140"/>
      <c r="E139" s="140"/>
      <c r="F139" s="140"/>
    </row>
    <row r="140">
      <c r="A140" s="138">
        <v>2.0</v>
      </c>
      <c r="B140" s="139" t="s">
        <v>17</v>
      </c>
      <c r="C140" s="139" t="s">
        <v>27</v>
      </c>
      <c r="D140" s="140"/>
      <c r="E140" s="140"/>
      <c r="F140" s="140"/>
    </row>
    <row r="141">
      <c r="A141" s="138">
        <v>2.0</v>
      </c>
      <c r="B141" s="139" t="s">
        <v>17</v>
      </c>
      <c r="C141" s="139" t="s">
        <v>27</v>
      </c>
      <c r="D141" s="140"/>
      <c r="E141" s="140"/>
      <c r="F141" s="140"/>
    </row>
    <row r="142">
      <c r="A142" s="135">
        <v>2.0</v>
      </c>
      <c r="B142" s="136" t="s">
        <v>28</v>
      </c>
      <c r="C142" s="136" t="s">
        <v>31</v>
      </c>
      <c r="D142" s="136" t="s">
        <v>340</v>
      </c>
      <c r="E142" s="136" t="s">
        <v>31</v>
      </c>
      <c r="F142" s="136">
        <v>2.0</v>
      </c>
    </row>
    <row r="143">
      <c r="A143" s="135">
        <v>2.0</v>
      </c>
      <c r="B143" s="136" t="s">
        <v>28</v>
      </c>
      <c r="C143" s="136" t="s">
        <v>31</v>
      </c>
      <c r="D143" s="136" t="s">
        <v>343</v>
      </c>
      <c r="E143" s="136" t="s">
        <v>31</v>
      </c>
      <c r="F143" s="136">
        <v>1.0</v>
      </c>
    </row>
    <row r="144">
      <c r="A144" s="135">
        <v>2.0</v>
      </c>
      <c r="B144" s="136" t="s">
        <v>28</v>
      </c>
      <c r="C144" s="136" t="s">
        <v>31</v>
      </c>
      <c r="D144" s="136" t="s">
        <v>466</v>
      </c>
      <c r="E144" s="136" t="s">
        <v>28</v>
      </c>
      <c r="F144" s="136">
        <v>1.0</v>
      </c>
    </row>
    <row r="145">
      <c r="A145" s="135">
        <v>2.0</v>
      </c>
      <c r="B145" s="136" t="s">
        <v>28</v>
      </c>
      <c r="C145" s="136" t="s">
        <v>31</v>
      </c>
      <c r="D145" s="137"/>
      <c r="E145" s="137"/>
      <c r="F145" s="137"/>
    </row>
    <row r="146">
      <c r="A146" s="135">
        <v>2.0</v>
      </c>
      <c r="B146" s="136" t="s">
        <v>28</v>
      </c>
      <c r="C146" s="136" t="s">
        <v>31</v>
      </c>
      <c r="D146" s="137"/>
      <c r="E146" s="137"/>
      <c r="F146" s="137"/>
    </row>
    <row r="147">
      <c r="A147" s="135">
        <v>2.0</v>
      </c>
      <c r="B147" s="136" t="s">
        <v>28</v>
      </c>
      <c r="C147" s="136" t="s">
        <v>31</v>
      </c>
      <c r="D147" s="137"/>
      <c r="E147" s="137"/>
      <c r="F147" s="137"/>
    </row>
    <row r="148">
      <c r="A148" s="135">
        <v>2.0</v>
      </c>
      <c r="B148" s="136" t="s">
        <v>28</v>
      </c>
      <c r="C148" s="136" t="s">
        <v>31</v>
      </c>
      <c r="D148" s="137"/>
      <c r="E148" s="137"/>
      <c r="F148" s="137"/>
    </row>
    <row r="149">
      <c r="A149" s="135">
        <v>2.0</v>
      </c>
      <c r="B149" s="136" t="s">
        <v>28</v>
      </c>
      <c r="C149" s="136" t="s">
        <v>31</v>
      </c>
      <c r="D149" s="137"/>
      <c r="E149" s="137"/>
      <c r="F149" s="137"/>
    </row>
    <row r="150">
      <c r="A150" s="135">
        <v>2.0</v>
      </c>
      <c r="B150" s="136" t="s">
        <v>28</v>
      </c>
      <c r="C150" s="136" t="s">
        <v>31</v>
      </c>
      <c r="D150" s="137"/>
      <c r="E150" s="137"/>
      <c r="F150" s="137"/>
    </row>
    <row r="151">
      <c r="A151" s="135">
        <v>2.0</v>
      </c>
      <c r="B151" s="136" t="s">
        <v>28</v>
      </c>
      <c r="C151" s="136" t="s">
        <v>31</v>
      </c>
      <c r="D151" s="137"/>
      <c r="E151" s="137"/>
      <c r="F151" s="137"/>
    </row>
    <row r="152">
      <c r="A152" s="138">
        <v>2.0</v>
      </c>
      <c r="B152" s="139" t="s">
        <v>30</v>
      </c>
      <c r="C152" s="139" t="s">
        <v>44</v>
      </c>
      <c r="D152" s="139" t="s">
        <v>510</v>
      </c>
      <c r="E152" s="139" t="s">
        <v>44</v>
      </c>
      <c r="F152" s="139">
        <v>1.0</v>
      </c>
    </row>
    <row r="153">
      <c r="A153" s="138">
        <v>2.0</v>
      </c>
      <c r="B153" s="139" t="s">
        <v>30</v>
      </c>
      <c r="C153" s="139" t="s">
        <v>44</v>
      </c>
      <c r="D153" s="139" t="s">
        <v>501</v>
      </c>
      <c r="E153" s="139" t="s">
        <v>44</v>
      </c>
      <c r="F153" s="139">
        <v>2.0</v>
      </c>
    </row>
    <row r="154">
      <c r="A154" s="138">
        <v>2.0</v>
      </c>
      <c r="B154" s="139" t="s">
        <v>30</v>
      </c>
      <c r="C154" s="139" t="s">
        <v>44</v>
      </c>
      <c r="D154" s="139" t="s">
        <v>507</v>
      </c>
      <c r="E154" s="139" t="s">
        <v>44</v>
      </c>
      <c r="F154" s="139">
        <v>1.0</v>
      </c>
    </row>
    <row r="155">
      <c r="A155" s="138">
        <v>2.0</v>
      </c>
      <c r="B155" s="139" t="s">
        <v>30</v>
      </c>
      <c r="C155" s="139" t="s">
        <v>44</v>
      </c>
      <c r="D155" s="139" t="s">
        <v>255</v>
      </c>
      <c r="E155" s="139" t="s">
        <v>30</v>
      </c>
      <c r="F155" s="139">
        <v>3.0</v>
      </c>
    </row>
    <row r="156">
      <c r="A156" s="138">
        <v>2.0</v>
      </c>
      <c r="B156" s="139" t="s">
        <v>30</v>
      </c>
      <c r="C156" s="139" t="s">
        <v>44</v>
      </c>
      <c r="D156" s="139" t="s">
        <v>253</v>
      </c>
      <c r="E156" s="139" t="s">
        <v>30</v>
      </c>
      <c r="F156" s="139">
        <v>4.0</v>
      </c>
    </row>
    <row r="157">
      <c r="A157" s="138">
        <v>2.0</v>
      </c>
      <c r="B157" s="139" t="s">
        <v>30</v>
      </c>
      <c r="C157" s="139" t="s">
        <v>44</v>
      </c>
      <c r="D157" s="139" t="s">
        <v>259</v>
      </c>
      <c r="E157" s="139" t="s">
        <v>30</v>
      </c>
      <c r="F157" s="139">
        <v>1.0</v>
      </c>
    </row>
    <row r="158">
      <c r="A158" s="138">
        <v>2.0</v>
      </c>
      <c r="B158" s="139" t="s">
        <v>30</v>
      </c>
      <c r="C158" s="139" t="s">
        <v>44</v>
      </c>
      <c r="D158" s="139" t="s">
        <v>505</v>
      </c>
      <c r="E158" s="139" t="s">
        <v>44</v>
      </c>
      <c r="F158" s="139">
        <v>1.0</v>
      </c>
    </row>
    <row r="159">
      <c r="A159" s="138">
        <v>2.0</v>
      </c>
      <c r="B159" s="139" t="s">
        <v>30</v>
      </c>
      <c r="C159" s="139" t="s">
        <v>44</v>
      </c>
      <c r="D159" s="139" t="s">
        <v>266</v>
      </c>
      <c r="E159" s="139" t="s">
        <v>30</v>
      </c>
      <c r="F159" s="139">
        <v>1.0</v>
      </c>
    </row>
    <row r="160">
      <c r="A160" s="138">
        <v>2.0</v>
      </c>
      <c r="B160" s="139" t="s">
        <v>30</v>
      </c>
      <c r="C160" s="139" t="s">
        <v>44</v>
      </c>
      <c r="D160" s="139" t="s">
        <v>260</v>
      </c>
      <c r="E160" s="139" t="s">
        <v>30</v>
      </c>
      <c r="F160" s="139">
        <v>1.0</v>
      </c>
    </row>
    <row r="161">
      <c r="A161" s="138">
        <v>2.0</v>
      </c>
      <c r="B161" s="139" t="s">
        <v>30</v>
      </c>
      <c r="C161" s="139" t="s">
        <v>44</v>
      </c>
      <c r="D161" s="140"/>
      <c r="E161" s="140"/>
      <c r="F161" s="140"/>
    </row>
    <row r="162">
      <c r="A162" s="135">
        <v>2.0</v>
      </c>
      <c r="B162" s="136" t="s">
        <v>37</v>
      </c>
      <c r="C162" s="136" t="s">
        <v>34</v>
      </c>
      <c r="D162" s="136" t="s">
        <v>221</v>
      </c>
      <c r="E162" s="136" t="s">
        <v>39</v>
      </c>
      <c r="F162" s="136">
        <v>1.0</v>
      </c>
    </row>
    <row r="163">
      <c r="A163" s="135">
        <v>2.0</v>
      </c>
      <c r="B163" s="136" t="s">
        <v>37</v>
      </c>
      <c r="C163" s="136" t="s">
        <v>34</v>
      </c>
      <c r="D163" s="136" t="s">
        <v>487</v>
      </c>
      <c r="E163" s="136" t="s">
        <v>34</v>
      </c>
      <c r="F163" s="136">
        <v>1.0</v>
      </c>
    </row>
    <row r="164">
      <c r="A164" s="135">
        <v>2.0</v>
      </c>
      <c r="B164" s="136" t="s">
        <v>37</v>
      </c>
      <c r="C164" s="136" t="s">
        <v>34</v>
      </c>
      <c r="D164" s="136" t="s">
        <v>213</v>
      </c>
      <c r="E164" s="136" t="s">
        <v>37</v>
      </c>
      <c r="F164" s="136">
        <v>1.0</v>
      </c>
    </row>
    <row r="165">
      <c r="A165" s="135">
        <v>2.0</v>
      </c>
      <c r="B165" s="136" t="s">
        <v>37</v>
      </c>
      <c r="C165" s="136" t="s">
        <v>34</v>
      </c>
      <c r="D165" s="136" t="s">
        <v>211</v>
      </c>
      <c r="E165" s="136" t="s">
        <v>531</v>
      </c>
      <c r="F165" s="136">
        <v>1.0</v>
      </c>
    </row>
    <row r="166">
      <c r="A166" s="135">
        <v>2.0</v>
      </c>
      <c r="B166" s="136" t="s">
        <v>37</v>
      </c>
      <c r="C166" s="136" t="s">
        <v>34</v>
      </c>
      <c r="D166" s="136" t="s">
        <v>486</v>
      </c>
      <c r="E166" s="136" t="s">
        <v>34</v>
      </c>
      <c r="F166" s="136">
        <v>2.0</v>
      </c>
    </row>
    <row r="167">
      <c r="A167" s="135">
        <v>2.0</v>
      </c>
      <c r="B167" s="136" t="s">
        <v>37</v>
      </c>
      <c r="C167" s="136" t="s">
        <v>34</v>
      </c>
      <c r="D167" s="136" t="s">
        <v>489</v>
      </c>
      <c r="E167" s="136" t="s">
        <v>34</v>
      </c>
      <c r="F167" s="136">
        <v>1.0</v>
      </c>
    </row>
    <row r="168">
      <c r="A168" s="135">
        <v>2.0</v>
      </c>
      <c r="B168" s="136" t="s">
        <v>37</v>
      </c>
      <c r="C168" s="136" t="s">
        <v>34</v>
      </c>
      <c r="D168" s="137"/>
      <c r="E168" s="137"/>
      <c r="F168" s="137"/>
    </row>
    <row r="169">
      <c r="A169" s="135">
        <v>2.0</v>
      </c>
      <c r="B169" s="136" t="s">
        <v>37</v>
      </c>
      <c r="C169" s="136" t="s">
        <v>34</v>
      </c>
      <c r="D169" s="137"/>
      <c r="E169" s="137"/>
      <c r="F169" s="137"/>
    </row>
    <row r="170">
      <c r="A170" s="135">
        <v>2.0</v>
      </c>
      <c r="B170" s="136" t="s">
        <v>37</v>
      </c>
      <c r="C170" s="136" t="s">
        <v>34</v>
      </c>
      <c r="D170" s="137"/>
      <c r="E170" s="137"/>
      <c r="F170" s="137"/>
    </row>
    <row r="171">
      <c r="A171" s="135">
        <v>2.0</v>
      </c>
      <c r="B171" s="136" t="s">
        <v>37</v>
      </c>
      <c r="C171" s="136" t="s">
        <v>34</v>
      </c>
      <c r="D171" s="137"/>
      <c r="E171" s="137"/>
      <c r="F171" s="137"/>
    </row>
    <row r="172">
      <c r="A172" s="138">
        <v>2.0</v>
      </c>
      <c r="B172" s="139" t="s">
        <v>40</v>
      </c>
      <c r="C172" s="139" t="s">
        <v>33</v>
      </c>
      <c r="D172" s="139" t="s">
        <v>311</v>
      </c>
      <c r="E172" s="139" t="s">
        <v>40</v>
      </c>
      <c r="F172" s="139">
        <v>2.0</v>
      </c>
    </row>
    <row r="173">
      <c r="A173" s="138">
        <v>2.0</v>
      </c>
      <c r="B173" s="139" t="s">
        <v>40</v>
      </c>
      <c r="C173" s="139" t="s">
        <v>33</v>
      </c>
      <c r="D173" s="139" t="s">
        <v>242</v>
      </c>
      <c r="E173" s="139" t="s">
        <v>33</v>
      </c>
      <c r="F173" s="139">
        <v>1.0</v>
      </c>
    </row>
    <row r="174">
      <c r="A174" s="138">
        <v>2.0</v>
      </c>
      <c r="B174" s="139" t="s">
        <v>40</v>
      </c>
      <c r="C174" s="139" t="s">
        <v>33</v>
      </c>
      <c r="D174" s="139" t="s">
        <v>306</v>
      </c>
      <c r="E174" s="139" t="s">
        <v>40</v>
      </c>
      <c r="F174" s="139">
        <v>1.0</v>
      </c>
    </row>
    <row r="175">
      <c r="A175" s="138">
        <v>2.0</v>
      </c>
      <c r="B175" s="139" t="s">
        <v>40</v>
      </c>
      <c r="C175" s="139" t="s">
        <v>33</v>
      </c>
      <c r="D175" s="139" t="s">
        <v>304</v>
      </c>
      <c r="E175" s="139" t="s">
        <v>40</v>
      </c>
      <c r="F175" s="139">
        <v>1.0</v>
      </c>
    </row>
    <row r="176">
      <c r="A176" s="138">
        <v>2.0</v>
      </c>
      <c r="B176" s="139" t="s">
        <v>40</v>
      </c>
      <c r="C176" s="139" t="s">
        <v>33</v>
      </c>
      <c r="D176" s="139" t="s">
        <v>246</v>
      </c>
      <c r="E176" s="139" t="s">
        <v>33</v>
      </c>
      <c r="F176" s="139">
        <v>1.0</v>
      </c>
    </row>
    <row r="177">
      <c r="A177" s="138">
        <v>2.0</v>
      </c>
      <c r="B177" s="139" t="s">
        <v>40</v>
      </c>
      <c r="C177" s="139" t="s">
        <v>33</v>
      </c>
      <c r="D177" s="139" t="s">
        <v>244</v>
      </c>
      <c r="E177" s="139" t="s">
        <v>33</v>
      </c>
      <c r="F177" s="139">
        <v>1.0</v>
      </c>
    </row>
    <row r="178">
      <c r="A178" s="138">
        <v>2.0</v>
      </c>
      <c r="B178" s="139" t="s">
        <v>40</v>
      </c>
      <c r="C178" s="139" t="s">
        <v>33</v>
      </c>
      <c r="D178" s="139" t="s">
        <v>251</v>
      </c>
      <c r="E178" s="139" t="s">
        <v>33</v>
      </c>
      <c r="F178" s="139">
        <v>1.0</v>
      </c>
    </row>
    <row r="179">
      <c r="A179" s="138">
        <v>2.0</v>
      </c>
      <c r="B179" s="139" t="s">
        <v>40</v>
      </c>
      <c r="C179" s="139" t="s">
        <v>33</v>
      </c>
      <c r="D179" s="140"/>
      <c r="E179" s="140"/>
      <c r="F179" s="140"/>
    </row>
    <row r="180">
      <c r="A180" s="138">
        <v>2.0</v>
      </c>
      <c r="B180" s="139" t="s">
        <v>40</v>
      </c>
      <c r="C180" s="139" t="s">
        <v>33</v>
      </c>
      <c r="D180" s="140"/>
      <c r="E180" s="140"/>
      <c r="F180" s="140"/>
    </row>
    <row r="181">
      <c r="A181" s="138">
        <v>2.0</v>
      </c>
      <c r="B181" s="139" t="s">
        <v>40</v>
      </c>
      <c r="C181" s="139" t="s">
        <v>33</v>
      </c>
      <c r="D181" s="140"/>
      <c r="E181" s="140"/>
      <c r="F181" s="140"/>
    </row>
    <row r="182">
      <c r="A182" s="135">
        <v>2.0</v>
      </c>
      <c r="B182" s="136" t="s">
        <v>36</v>
      </c>
      <c r="C182" s="136" t="s">
        <v>13</v>
      </c>
      <c r="D182" s="136" t="s">
        <v>281</v>
      </c>
      <c r="E182" s="136" t="s">
        <v>36</v>
      </c>
      <c r="F182" s="136">
        <v>2.0</v>
      </c>
    </row>
    <row r="183">
      <c r="A183" s="135">
        <v>2.0</v>
      </c>
      <c r="B183" s="136" t="s">
        <v>36</v>
      </c>
      <c r="C183" s="136" t="s">
        <v>13</v>
      </c>
      <c r="D183" s="136" t="s">
        <v>282</v>
      </c>
      <c r="E183" s="136" t="s">
        <v>36</v>
      </c>
      <c r="F183" s="136">
        <v>1.0</v>
      </c>
    </row>
    <row r="184">
      <c r="A184" s="135">
        <v>2.0</v>
      </c>
      <c r="B184" s="136" t="s">
        <v>36</v>
      </c>
      <c r="C184" s="136" t="s">
        <v>13</v>
      </c>
      <c r="D184" s="136" t="s">
        <v>376</v>
      </c>
      <c r="E184" s="136" t="s">
        <v>13</v>
      </c>
      <c r="F184" s="136">
        <v>2.0</v>
      </c>
    </row>
    <row r="185">
      <c r="A185" s="135">
        <v>2.0</v>
      </c>
      <c r="B185" s="136" t="s">
        <v>36</v>
      </c>
      <c r="C185" s="136" t="s">
        <v>13</v>
      </c>
      <c r="D185" s="136" t="s">
        <v>275</v>
      </c>
      <c r="E185" s="136" t="s">
        <v>36</v>
      </c>
      <c r="F185" s="136">
        <v>1.0</v>
      </c>
    </row>
    <row r="186">
      <c r="A186" s="135">
        <v>2.0</v>
      </c>
      <c r="B186" s="136" t="s">
        <v>36</v>
      </c>
      <c r="C186" s="136" t="s">
        <v>13</v>
      </c>
      <c r="D186" s="137"/>
      <c r="E186" s="137"/>
      <c r="F186" s="137"/>
    </row>
    <row r="187">
      <c r="A187" s="135">
        <v>2.0</v>
      </c>
      <c r="B187" s="136" t="s">
        <v>36</v>
      </c>
      <c r="C187" s="136" t="s">
        <v>13</v>
      </c>
      <c r="D187" s="137"/>
      <c r="E187" s="137"/>
      <c r="F187" s="137"/>
    </row>
    <row r="188">
      <c r="A188" s="135">
        <v>2.0</v>
      </c>
      <c r="B188" s="136" t="s">
        <v>36</v>
      </c>
      <c r="C188" s="136" t="s">
        <v>13</v>
      </c>
      <c r="D188" s="137"/>
      <c r="E188" s="137"/>
      <c r="F188" s="137"/>
    </row>
    <row r="189">
      <c r="A189" s="135">
        <v>2.0</v>
      </c>
      <c r="B189" s="136" t="s">
        <v>36</v>
      </c>
      <c r="C189" s="136" t="s">
        <v>13</v>
      </c>
      <c r="D189" s="137"/>
      <c r="E189" s="137"/>
      <c r="F189" s="137"/>
    </row>
    <row r="190">
      <c r="A190" s="135">
        <v>2.0</v>
      </c>
      <c r="B190" s="136" t="s">
        <v>36</v>
      </c>
      <c r="C190" s="136" t="s">
        <v>13</v>
      </c>
      <c r="D190" s="137"/>
      <c r="E190" s="137"/>
      <c r="F190" s="137"/>
    </row>
    <row r="191">
      <c r="A191" s="135">
        <v>2.0</v>
      </c>
      <c r="B191" s="136" t="s">
        <v>36</v>
      </c>
      <c r="C191" s="136" t="s">
        <v>13</v>
      </c>
      <c r="D191" s="137"/>
      <c r="E191" s="137"/>
      <c r="F191" s="137"/>
    </row>
    <row r="192">
      <c r="A192" s="138">
        <v>2.0</v>
      </c>
      <c r="B192" s="139" t="s">
        <v>16</v>
      </c>
      <c r="C192" s="139" t="s">
        <v>50</v>
      </c>
      <c r="D192" s="139" t="s">
        <v>162</v>
      </c>
      <c r="E192" s="139" t="s">
        <v>110</v>
      </c>
      <c r="F192" s="139">
        <v>2.0</v>
      </c>
    </row>
    <row r="193">
      <c r="A193" s="138">
        <v>2.0</v>
      </c>
      <c r="B193" s="139" t="s">
        <v>16</v>
      </c>
      <c r="C193" s="139" t="s">
        <v>50</v>
      </c>
      <c r="D193" s="139" t="s">
        <v>163</v>
      </c>
      <c r="E193" s="139" t="s">
        <v>16</v>
      </c>
      <c r="F193" s="139">
        <v>2.0</v>
      </c>
    </row>
    <row r="194">
      <c r="A194" s="138">
        <v>2.0</v>
      </c>
      <c r="B194" s="139" t="s">
        <v>16</v>
      </c>
      <c r="C194" s="139" t="s">
        <v>50</v>
      </c>
      <c r="D194" s="139" t="s">
        <v>292</v>
      </c>
      <c r="E194" s="139" t="s">
        <v>50</v>
      </c>
      <c r="F194" s="139">
        <v>1.0</v>
      </c>
    </row>
    <row r="195">
      <c r="A195" s="138">
        <v>2.0</v>
      </c>
      <c r="B195" s="139" t="s">
        <v>16</v>
      </c>
      <c r="C195" s="139" t="s">
        <v>50</v>
      </c>
      <c r="D195" s="139" t="s">
        <v>165</v>
      </c>
      <c r="E195" s="139" t="s">
        <v>16</v>
      </c>
      <c r="F195" s="139">
        <v>1.0</v>
      </c>
    </row>
    <row r="196">
      <c r="A196" s="138">
        <v>2.0</v>
      </c>
      <c r="B196" s="139" t="s">
        <v>16</v>
      </c>
      <c r="C196" s="139" t="s">
        <v>50</v>
      </c>
      <c r="D196" s="140"/>
      <c r="E196" s="140"/>
      <c r="F196" s="140"/>
    </row>
    <row r="197">
      <c r="A197" s="138">
        <v>2.0</v>
      </c>
      <c r="B197" s="139" t="s">
        <v>16</v>
      </c>
      <c r="C197" s="139" t="s">
        <v>50</v>
      </c>
      <c r="D197" s="140"/>
      <c r="E197" s="140"/>
      <c r="F197" s="140"/>
    </row>
    <row r="198">
      <c r="A198" s="138">
        <v>2.0</v>
      </c>
      <c r="B198" s="139" t="s">
        <v>16</v>
      </c>
      <c r="C198" s="139" t="s">
        <v>50</v>
      </c>
      <c r="D198" s="140"/>
      <c r="E198" s="140"/>
      <c r="F198" s="140"/>
    </row>
    <row r="199">
      <c r="A199" s="138">
        <v>2.0</v>
      </c>
      <c r="B199" s="139" t="s">
        <v>16</v>
      </c>
      <c r="C199" s="139" t="s">
        <v>50</v>
      </c>
      <c r="D199" s="140"/>
      <c r="E199" s="140"/>
      <c r="F199" s="140"/>
    </row>
    <row r="200">
      <c r="A200" s="138">
        <v>2.0</v>
      </c>
      <c r="B200" s="139" t="s">
        <v>16</v>
      </c>
      <c r="C200" s="139" t="s">
        <v>50</v>
      </c>
      <c r="D200" s="140"/>
      <c r="E200" s="140"/>
      <c r="F200" s="140"/>
    </row>
    <row r="201">
      <c r="A201" s="138">
        <v>2.0</v>
      </c>
      <c r="B201" s="139" t="s">
        <v>16</v>
      </c>
      <c r="C201" s="139" t="s">
        <v>50</v>
      </c>
      <c r="D201" s="140"/>
      <c r="E201" s="140"/>
      <c r="F201" s="140"/>
    </row>
    <row r="202">
      <c r="A202" s="135">
        <v>2.0</v>
      </c>
      <c r="B202" s="136" t="s">
        <v>11</v>
      </c>
      <c r="C202" s="136" t="s">
        <v>49</v>
      </c>
      <c r="D202" s="136" t="s">
        <v>478</v>
      </c>
      <c r="E202" s="136" t="s">
        <v>49</v>
      </c>
      <c r="F202" s="136">
        <v>1.0</v>
      </c>
    </row>
    <row r="203">
      <c r="A203" s="135">
        <v>2.0</v>
      </c>
      <c r="B203" s="136" t="s">
        <v>11</v>
      </c>
      <c r="C203" s="136" t="s">
        <v>49</v>
      </c>
      <c r="D203" s="136" t="s">
        <v>476</v>
      </c>
      <c r="E203" s="136" t="s">
        <v>49</v>
      </c>
      <c r="F203" s="136">
        <v>2.0</v>
      </c>
    </row>
    <row r="204">
      <c r="A204" s="135">
        <v>2.0</v>
      </c>
      <c r="B204" s="136" t="s">
        <v>11</v>
      </c>
      <c r="C204" s="136" t="s">
        <v>49</v>
      </c>
      <c r="D204" s="136" t="s">
        <v>425</v>
      </c>
      <c r="E204" s="136" t="s">
        <v>11</v>
      </c>
      <c r="F204" s="136">
        <v>1.0</v>
      </c>
    </row>
    <row r="205">
      <c r="A205" s="135">
        <v>2.0</v>
      </c>
      <c r="B205" s="136" t="s">
        <v>11</v>
      </c>
      <c r="C205" s="136" t="s">
        <v>49</v>
      </c>
      <c r="D205" s="136" t="s">
        <v>413</v>
      </c>
      <c r="E205" s="136" t="s">
        <v>11</v>
      </c>
      <c r="F205" s="136">
        <v>1.0</v>
      </c>
    </row>
    <row r="206">
      <c r="A206" s="135">
        <v>2.0</v>
      </c>
      <c r="B206" s="136" t="s">
        <v>11</v>
      </c>
      <c r="C206" s="136" t="s">
        <v>49</v>
      </c>
      <c r="D206" s="136" t="s">
        <v>420</v>
      </c>
      <c r="E206" s="136" t="s">
        <v>11</v>
      </c>
      <c r="F206" s="136">
        <v>1.0</v>
      </c>
    </row>
    <row r="207">
      <c r="A207" s="135">
        <v>2.0</v>
      </c>
      <c r="B207" s="136" t="s">
        <v>11</v>
      </c>
      <c r="C207" s="136" t="s">
        <v>49</v>
      </c>
      <c r="D207" s="136" t="s">
        <v>423</v>
      </c>
      <c r="E207" s="136" t="s">
        <v>11</v>
      </c>
      <c r="F207" s="136">
        <v>1.0</v>
      </c>
    </row>
    <row r="208">
      <c r="A208" s="135">
        <v>2.0</v>
      </c>
      <c r="B208" s="136" t="s">
        <v>11</v>
      </c>
      <c r="C208" s="136" t="s">
        <v>49</v>
      </c>
      <c r="D208" s="137"/>
      <c r="E208" s="137"/>
      <c r="F208" s="137"/>
    </row>
    <row r="209">
      <c r="A209" s="135">
        <v>2.0</v>
      </c>
      <c r="B209" s="136" t="s">
        <v>11</v>
      </c>
      <c r="C209" s="136" t="s">
        <v>49</v>
      </c>
      <c r="D209" s="137"/>
      <c r="E209" s="137"/>
      <c r="F209" s="137"/>
    </row>
    <row r="210">
      <c r="A210" s="135">
        <v>2.0</v>
      </c>
      <c r="B210" s="136" t="s">
        <v>11</v>
      </c>
      <c r="C210" s="136" t="s">
        <v>49</v>
      </c>
      <c r="D210" s="137"/>
      <c r="E210" s="137"/>
      <c r="F210" s="137"/>
    </row>
    <row r="211">
      <c r="A211" s="135">
        <v>2.0</v>
      </c>
      <c r="B211" s="136" t="s">
        <v>11</v>
      </c>
      <c r="C211" s="136" t="s">
        <v>49</v>
      </c>
      <c r="D211" s="137"/>
      <c r="E211" s="137"/>
      <c r="F211" s="137"/>
    </row>
    <row r="212">
      <c r="A212" s="138">
        <v>2.0</v>
      </c>
      <c r="B212" s="139" t="s">
        <v>43</v>
      </c>
      <c r="C212" s="139" t="s">
        <v>47</v>
      </c>
      <c r="D212" s="139" t="s">
        <v>322</v>
      </c>
      <c r="E212" s="139" t="s">
        <v>47</v>
      </c>
      <c r="F212" s="139">
        <v>1.0</v>
      </c>
    </row>
    <row r="213">
      <c r="A213" s="138">
        <v>2.0</v>
      </c>
      <c r="B213" s="139" t="s">
        <v>43</v>
      </c>
      <c r="C213" s="139" t="s">
        <v>47</v>
      </c>
      <c r="D213" s="139" t="s">
        <v>333</v>
      </c>
      <c r="E213" s="139" t="s">
        <v>47</v>
      </c>
      <c r="F213" s="139">
        <v>1.0</v>
      </c>
    </row>
    <row r="214">
      <c r="A214" s="138">
        <v>2.0</v>
      </c>
      <c r="B214" s="139" t="s">
        <v>43</v>
      </c>
      <c r="C214" s="139" t="s">
        <v>47</v>
      </c>
      <c r="D214" s="139" t="s">
        <v>332</v>
      </c>
      <c r="E214" s="139" t="s">
        <v>47</v>
      </c>
      <c r="F214" s="139">
        <v>2.0</v>
      </c>
    </row>
    <row r="215">
      <c r="A215" s="138">
        <v>2.0</v>
      </c>
      <c r="B215" s="139" t="s">
        <v>43</v>
      </c>
      <c r="C215" s="139" t="s">
        <v>47</v>
      </c>
      <c r="D215" s="139" t="s">
        <v>326</v>
      </c>
      <c r="E215" s="139" t="s">
        <v>47</v>
      </c>
      <c r="F215" s="139">
        <v>1.0</v>
      </c>
    </row>
    <row r="216">
      <c r="A216" s="138">
        <v>2.0</v>
      </c>
      <c r="B216" s="139" t="s">
        <v>43</v>
      </c>
      <c r="C216" s="139" t="s">
        <v>47</v>
      </c>
      <c r="D216" s="139" t="s">
        <v>329</v>
      </c>
      <c r="E216" s="139" t="s">
        <v>47</v>
      </c>
      <c r="F216" s="139">
        <v>1.0</v>
      </c>
    </row>
    <row r="217">
      <c r="A217" s="138">
        <v>2.0</v>
      </c>
      <c r="B217" s="139" t="s">
        <v>43</v>
      </c>
      <c r="C217" s="139" t="s">
        <v>47</v>
      </c>
      <c r="D217" s="139" t="s">
        <v>438</v>
      </c>
      <c r="E217" s="139" t="s">
        <v>43</v>
      </c>
      <c r="F217" s="139">
        <v>2.0</v>
      </c>
    </row>
    <row r="218">
      <c r="A218" s="138">
        <v>2.0</v>
      </c>
      <c r="B218" s="139" t="s">
        <v>43</v>
      </c>
      <c r="C218" s="139" t="s">
        <v>47</v>
      </c>
      <c r="D218" s="139" t="s">
        <v>442</v>
      </c>
      <c r="E218" s="139" t="s">
        <v>43</v>
      </c>
      <c r="F218" s="139">
        <v>1.0</v>
      </c>
    </row>
    <row r="219">
      <c r="A219" s="138">
        <v>2.0</v>
      </c>
      <c r="B219" s="139" t="s">
        <v>43</v>
      </c>
      <c r="C219" s="139" t="s">
        <v>47</v>
      </c>
      <c r="D219" s="139" t="s">
        <v>324</v>
      </c>
      <c r="E219" s="139" t="s">
        <v>47</v>
      </c>
      <c r="F219" s="139">
        <v>2.0</v>
      </c>
    </row>
    <row r="220">
      <c r="A220" s="138">
        <v>2.0</v>
      </c>
      <c r="B220" s="139" t="s">
        <v>43</v>
      </c>
      <c r="C220" s="139" t="s">
        <v>47</v>
      </c>
      <c r="D220" s="139" t="s">
        <v>448</v>
      </c>
      <c r="E220" s="139" t="s">
        <v>43</v>
      </c>
      <c r="F220" s="139">
        <v>2.0</v>
      </c>
    </row>
    <row r="221">
      <c r="A221" s="138">
        <v>2.0</v>
      </c>
      <c r="B221" s="139" t="s">
        <v>43</v>
      </c>
      <c r="C221" s="139" t="s">
        <v>47</v>
      </c>
      <c r="D221" s="140"/>
      <c r="E221" s="140"/>
      <c r="F221" s="140"/>
    </row>
    <row r="222">
      <c r="A222" s="135">
        <v>2.0</v>
      </c>
      <c r="B222" s="136" t="s">
        <v>20</v>
      </c>
      <c r="C222" s="136" t="s">
        <v>46</v>
      </c>
      <c r="D222" s="136" t="s">
        <v>204</v>
      </c>
      <c r="E222" s="136" t="s">
        <v>46</v>
      </c>
      <c r="F222" s="136">
        <v>1.0</v>
      </c>
    </row>
    <row r="223">
      <c r="A223" s="135">
        <v>2.0</v>
      </c>
      <c r="B223" s="136" t="s">
        <v>20</v>
      </c>
      <c r="C223" s="136" t="s">
        <v>46</v>
      </c>
      <c r="D223" s="136" t="s">
        <v>371</v>
      </c>
      <c r="E223" s="136" t="s">
        <v>20</v>
      </c>
      <c r="F223" s="136">
        <v>1.0</v>
      </c>
    </row>
    <row r="224">
      <c r="A224" s="135">
        <v>2.0</v>
      </c>
      <c r="B224" s="136" t="s">
        <v>20</v>
      </c>
      <c r="C224" s="136" t="s">
        <v>46</v>
      </c>
      <c r="D224" s="136" t="s">
        <v>201</v>
      </c>
      <c r="E224" s="136" t="s">
        <v>46</v>
      </c>
      <c r="F224" s="136">
        <v>1.0</v>
      </c>
    </row>
    <row r="225">
      <c r="A225" s="135">
        <v>2.0</v>
      </c>
      <c r="B225" s="136" t="s">
        <v>20</v>
      </c>
      <c r="C225" s="136" t="s">
        <v>46</v>
      </c>
      <c r="D225" s="136" t="s">
        <v>373</v>
      </c>
      <c r="E225" s="136" t="s">
        <v>20</v>
      </c>
      <c r="F225" s="136">
        <v>1.0</v>
      </c>
    </row>
    <row r="226">
      <c r="A226" s="135">
        <v>2.0</v>
      </c>
      <c r="B226" s="136" t="s">
        <v>20</v>
      </c>
      <c r="C226" s="136" t="s">
        <v>46</v>
      </c>
      <c r="D226" s="136" t="s">
        <v>202</v>
      </c>
      <c r="E226" s="136" t="s">
        <v>46</v>
      </c>
      <c r="F226" s="136">
        <v>1.0</v>
      </c>
    </row>
    <row r="227">
      <c r="A227" s="135">
        <v>2.0</v>
      </c>
      <c r="B227" s="136" t="s">
        <v>20</v>
      </c>
      <c r="C227" s="136" t="s">
        <v>46</v>
      </c>
      <c r="D227" s="136" t="s">
        <v>374</v>
      </c>
      <c r="E227" s="136" t="s">
        <v>20</v>
      </c>
      <c r="F227" s="136">
        <v>2.0</v>
      </c>
    </row>
    <row r="228">
      <c r="A228" s="135">
        <v>2.0</v>
      </c>
      <c r="B228" s="136" t="s">
        <v>20</v>
      </c>
      <c r="C228" s="136" t="s">
        <v>46</v>
      </c>
      <c r="D228" s="136" t="s">
        <v>206</v>
      </c>
      <c r="E228" s="136" t="s">
        <v>46</v>
      </c>
      <c r="F228" s="136">
        <v>1.0</v>
      </c>
    </row>
    <row r="229">
      <c r="A229" s="135">
        <v>2.0</v>
      </c>
      <c r="B229" s="136" t="s">
        <v>20</v>
      </c>
      <c r="C229" s="136" t="s">
        <v>46</v>
      </c>
      <c r="D229" s="136" t="s">
        <v>368</v>
      </c>
      <c r="E229" s="136" t="s">
        <v>20</v>
      </c>
      <c r="F229" s="136">
        <v>1.0</v>
      </c>
    </row>
    <row r="230">
      <c r="A230" s="135">
        <v>2.0</v>
      </c>
      <c r="B230" s="136" t="s">
        <v>20</v>
      </c>
      <c r="C230" s="136" t="s">
        <v>46</v>
      </c>
      <c r="D230" s="136" t="s">
        <v>372</v>
      </c>
      <c r="E230" s="136" t="s">
        <v>20</v>
      </c>
      <c r="F230" s="136">
        <v>1.0</v>
      </c>
    </row>
    <row r="231">
      <c r="A231" s="135">
        <v>2.0</v>
      </c>
      <c r="B231" s="136" t="s">
        <v>20</v>
      </c>
      <c r="C231" s="136" t="s">
        <v>46</v>
      </c>
      <c r="D231" s="136" t="s">
        <v>197</v>
      </c>
      <c r="E231" s="136" t="s">
        <v>46</v>
      </c>
      <c r="F231" s="142">
        <v>1.0</v>
      </c>
    </row>
    <row r="232">
      <c r="A232" s="138">
        <v>2.0</v>
      </c>
      <c r="B232" s="139" t="s">
        <v>41</v>
      </c>
      <c r="C232" s="139" t="s">
        <v>25</v>
      </c>
      <c r="D232" s="139" t="s">
        <v>351</v>
      </c>
      <c r="E232" s="139" t="s">
        <v>25</v>
      </c>
      <c r="F232" s="139">
        <v>2.0</v>
      </c>
    </row>
    <row r="233">
      <c r="A233" s="138">
        <v>2.0</v>
      </c>
      <c r="B233" s="139" t="s">
        <v>41</v>
      </c>
      <c r="C233" s="139" t="s">
        <v>25</v>
      </c>
      <c r="D233" s="139" t="s">
        <v>185</v>
      </c>
      <c r="E233" s="139" t="s">
        <v>532</v>
      </c>
      <c r="F233" s="139">
        <v>1.0</v>
      </c>
    </row>
    <row r="234">
      <c r="A234" s="138">
        <v>2.0</v>
      </c>
      <c r="B234" s="139" t="s">
        <v>41</v>
      </c>
      <c r="C234" s="139" t="s">
        <v>25</v>
      </c>
      <c r="D234" s="139" t="s">
        <v>350</v>
      </c>
      <c r="E234" s="139" t="s">
        <v>25</v>
      </c>
      <c r="F234" s="139">
        <v>2.0</v>
      </c>
    </row>
    <row r="235">
      <c r="A235" s="138">
        <v>2.0</v>
      </c>
      <c r="B235" s="139" t="s">
        <v>41</v>
      </c>
      <c r="C235" s="139" t="s">
        <v>25</v>
      </c>
      <c r="D235" s="139" t="s">
        <v>186</v>
      </c>
      <c r="E235" s="139" t="s">
        <v>532</v>
      </c>
      <c r="F235" s="139">
        <v>1.0</v>
      </c>
    </row>
    <row r="236">
      <c r="A236" s="138">
        <v>2.0</v>
      </c>
      <c r="B236" s="139" t="s">
        <v>41</v>
      </c>
      <c r="C236" s="139" t="s">
        <v>25</v>
      </c>
      <c r="D236" s="139" t="s">
        <v>357</v>
      </c>
      <c r="E236" s="139" t="s">
        <v>25</v>
      </c>
      <c r="F236" s="139">
        <v>1.0</v>
      </c>
    </row>
    <row r="237">
      <c r="A237" s="138">
        <v>2.0</v>
      </c>
      <c r="B237" s="139" t="s">
        <v>41</v>
      </c>
      <c r="C237" s="139" t="s">
        <v>25</v>
      </c>
      <c r="D237" s="139" t="s">
        <v>359</v>
      </c>
      <c r="E237" s="139" t="s">
        <v>25</v>
      </c>
      <c r="F237" s="139">
        <v>1.0</v>
      </c>
    </row>
    <row r="238">
      <c r="A238" s="138">
        <v>2.0</v>
      </c>
      <c r="B238" s="139" t="s">
        <v>41</v>
      </c>
      <c r="C238" s="139" t="s">
        <v>25</v>
      </c>
      <c r="D238" s="139" t="s">
        <v>349</v>
      </c>
      <c r="E238" s="139" t="s">
        <v>25</v>
      </c>
      <c r="F238" s="139">
        <v>1.0</v>
      </c>
    </row>
    <row r="239">
      <c r="A239" s="138">
        <v>2.0</v>
      </c>
      <c r="B239" s="139" t="s">
        <v>41</v>
      </c>
      <c r="C239" s="139" t="s">
        <v>25</v>
      </c>
      <c r="D239" s="140"/>
      <c r="E239" s="140"/>
      <c r="F239" s="140"/>
    </row>
    <row r="240">
      <c r="A240" s="138">
        <v>2.0</v>
      </c>
      <c r="B240" s="139" t="s">
        <v>41</v>
      </c>
      <c r="C240" s="139" t="s">
        <v>25</v>
      </c>
      <c r="D240" s="140"/>
      <c r="E240" s="140"/>
      <c r="F240" s="140"/>
    </row>
    <row r="241">
      <c r="A241" s="138">
        <v>2.0</v>
      </c>
      <c r="B241" s="139" t="s">
        <v>41</v>
      </c>
      <c r="C241" s="139" t="s">
        <v>25</v>
      </c>
      <c r="D241" s="140"/>
      <c r="E241" s="140"/>
      <c r="F241" s="140"/>
    </row>
    <row r="242">
      <c r="A242" s="135">
        <v>3.0</v>
      </c>
      <c r="B242" s="136" t="s">
        <v>21</v>
      </c>
      <c r="C242" s="136" t="s">
        <v>37</v>
      </c>
      <c r="D242" s="136" t="s">
        <v>213</v>
      </c>
      <c r="E242" s="136" t="s">
        <v>37</v>
      </c>
      <c r="F242" s="136">
        <v>1.0</v>
      </c>
    </row>
    <row r="243">
      <c r="A243" s="135">
        <v>3.0</v>
      </c>
      <c r="B243" s="136" t="s">
        <v>21</v>
      </c>
      <c r="C243" s="136" t="s">
        <v>37</v>
      </c>
      <c r="D243" s="136" t="s">
        <v>211</v>
      </c>
      <c r="E243" s="136" t="s">
        <v>39</v>
      </c>
      <c r="F243" s="136">
        <v>1.0</v>
      </c>
    </row>
    <row r="244">
      <c r="A244" s="135">
        <v>3.0</v>
      </c>
      <c r="B244" s="136" t="s">
        <v>21</v>
      </c>
      <c r="C244" s="136" t="s">
        <v>37</v>
      </c>
      <c r="D244" s="136" t="s">
        <v>156</v>
      </c>
      <c r="E244" s="136" t="s">
        <v>21</v>
      </c>
      <c r="F244" s="136">
        <v>2.0</v>
      </c>
    </row>
    <row r="245">
      <c r="A245" s="135">
        <v>3.0</v>
      </c>
      <c r="B245" s="136" t="s">
        <v>21</v>
      </c>
      <c r="C245" s="136" t="s">
        <v>37</v>
      </c>
      <c r="D245" s="136" t="s">
        <v>150</v>
      </c>
      <c r="E245" s="136" t="s">
        <v>21</v>
      </c>
      <c r="F245" s="136">
        <v>1.0</v>
      </c>
    </row>
    <row r="246">
      <c r="A246" s="135">
        <v>3.0</v>
      </c>
      <c r="B246" s="136" t="s">
        <v>21</v>
      </c>
      <c r="C246" s="136" t="s">
        <v>37</v>
      </c>
      <c r="D246" s="136" t="s">
        <v>148</v>
      </c>
      <c r="E246" s="136" t="s">
        <v>21</v>
      </c>
      <c r="F246" s="136">
        <v>1.0</v>
      </c>
    </row>
    <row r="247">
      <c r="A247" s="135">
        <v>3.0</v>
      </c>
      <c r="B247" s="136" t="s">
        <v>21</v>
      </c>
      <c r="C247" s="136" t="s">
        <v>37</v>
      </c>
      <c r="D247" s="136" t="s">
        <v>147</v>
      </c>
      <c r="E247" s="136" t="s">
        <v>21</v>
      </c>
      <c r="F247" s="136">
        <v>1.0</v>
      </c>
    </row>
    <row r="248">
      <c r="A248" s="135">
        <v>3.0</v>
      </c>
      <c r="B248" s="136" t="s">
        <v>21</v>
      </c>
      <c r="C248" s="136" t="s">
        <v>37</v>
      </c>
      <c r="D248" s="137"/>
      <c r="E248" s="137"/>
      <c r="F248" s="137"/>
    </row>
    <row r="249">
      <c r="A249" s="135">
        <v>3.0</v>
      </c>
      <c r="B249" s="136" t="s">
        <v>21</v>
      </c>
      <c r="C249" s="136" t="s">
        <v>37</v>
      </c>
      <c r="D249" s="137"/>
      <c r="E249" s="137"/>
      <c r="F249" s="137"/>
    </row>
    <row r="250">
      <c r="A250" s="135">
        <v>3.0</v>
      </c>
      <c r="B250" s="136" t="s">
        <v>21</v>
      </c>
      <c r="C250" s="136" t="s">
        <v>37</v>
      </c>
      <c r="D250" s="137"/>
      <c r="E250" s="137"/>
      <c r="F250" s="137"/>
    </row>
    <row r="251">
      <c r="A251" s="135">
        <v>3.0</v>
      </c>
      <c r="B251" s="136" t="s">
        <v>21</v>
      </c>
      <c r="C251" s="136" t="s">
        <v>37</v>
      </c>
      <c r="D251" s="137"/>
      <c r="E251" s="137"/>
      <c r="F251" s="137"/>
    </row>
    <row r="252">
      <c r="A252" s="138">
        <v>3.0</v>
      </c>
      <c r="B252" s="139" t="s">
        <v>24</v>
      </c>
      <c r="C252" s="139" t="s">
        <v>31</v>
      </c>
      <c r="D252" s="139" t="s">
        <v>397</v>
      </c>
      <c r="E252" s="139" t="s">
        <v>24</v>
      </c>
      <c r="F252" s="139">
        <v>3.0</v>
      </c>
    </row>
    <row r="253">
      <c r="A253" s="138">
        <v>3.0</v>
      </c>
      <c r="B253" s="139" t="s">
        <v>24</v>
      </c>
      <c r="C253" s="139" t="s">
        <v>31</v>
      </c>
      <c r="D253" s="139" t="s">
        <v>396</v>
      </c>
      <c r="E253" s="139" t="s">
        <v>24</v>
      </c>
      <c r="F253" s="139">
        <v>1.0</v>
      </c>
    </row>
    <row r="254">
      <c r="A254" s="138">
        <v>3.0</v>
      </c>
      <c r="B254" s="139" t="s">
        <v>24</v>
      </c>
      <c r="C254" s="139" t="s">
        <v>31</v>
      </c>
      <c r="D254" s="139" t="s">
        <v>343</v>
      </c>
      <c r="E254" s="139" t="s">
        <v>31</v>
      </c>
      <c r="F254" s="139">
        <v>1.0</v>
      </c>
    </row>
    <row r="255">
      <c r="A255" s="138">
        <v>3.0</v>
      </c>
      <c r="B255" s="139" t="s">
        <v>24</v>
      </c>
      <c r="C255" s="139" t="s">
        <v>31</v>
      </c>
      <c r="D255" s="139" t="s">
        <v>406</v>
      </c>
      <c r="E255" s="139" t="s">
        <v>24</v>
      </c>
      <c r="F255" s="139">
        <v>3.0</v>
      </c>
    </row>
    <row r="256">
      <c r="A256" s="138">
        <v>3.0</v>
      </c>
      <c r="B256" s="139" t="s">
        <v>24</v>
      </c>
      <c r="C256" s="139" t="s">
        <v>31</v>
      </c>
      <c r="D256" s="139" t="s">
        <v>341</v>
      </c>
      <c r="E256" s="139" t="s">
        <v>31</v>
      </c>
      <c r="F256" s="139">
        <v>1.0</v>
      </c>
    </row>
    <row r="257">
      <c r="A257" s="138">
        <v>3.0</v>
      </c>
      <c r="B257" s="139" t="s">
        <v>24</v>
      </c>
      <c r="C257" s="139" t="s">
        <v>31</v>
      </c>
      <c r="D257" s="140"/>
      <c r="E257" s="140"/>
      <c r="F257" s="140"/>
    </row>
    <row r="258">
      <c r="A258" s="138">
        <v>3.0</v>
      </c>
      <c r="B258" s="139" t="s">
        <v>24</v>
      </c>
      <c r="C258" s="139" t="s">
        <v>31</v>
      </c>
      <c r="D258" s="140"/>
      <c r="E258" s="140"/>
      <c r="F258" s="140"/>
    </row>
    <row r="259">
      <c r="A259" s="138">
        <v>3.0</v>
      </c>
      <c r="B259" s="139" t="s">
        <v>24</v>
      </c>
      <c r="C259" s="139" t="s">
        <v>31</v>
      </c>
      <c r="D259" s="140"/>
      <c r="E259" s="140"/>
      <c r="F259" s="140"/>
    </row>
    <row r="260">
      <c r="A260" s="138">
        <v>3.0</v>
      </c>
      <c r="B260" s="139" t="s">
        <v>24</v>
      </c>
      <c r="C260" s="139" t="s">
        <v>31</v>
      </c>
      <c r="D260" s="140"/>
      <c r="E260" s="140"/>
      <c r="F260" s="140"/>
    </row>
    <row r="261">
      <c r="A261" s="138">
        <v>3.0</v>
      </c>
      <c r="B261" s="139" t="s">
        <v>24</v>
      </c>
      <c r="C261" s="139" t="s">
        <v>31</v>
      </c>
      <c r="D261" s="140"/>
      <c r="E261" s="140"/>
      <c r="F261" s="140"/>
    </row>
    <row r="262">
      <c r="A262" s="135">
        <v>3.0</v>
      </c>
      <c r="B262" s="136" t="s">
        <v>36</v>
      </c>
      <c r="C262" s="136" t="s">
        <v>34</v>
      </c>
      <c r="D262" s="136" t="s">
        <v>281</v>
      </c>
      <c r="E262" s="136" t="s">
        <v>533</v>
      </c>
      <c r="F262" s="136">
        <v>1.0</v>
      </c>
    </row>
    <row r="263">
      <c r="A263" s="135">
        <v>3.0</v>
      </c>
      <c r="B263" s="136" t="s">
        <v>36</v>
      </c>
      <c r="C263" s="136" t="s">
        <v>34</v>
      </c>
      <c r="D263" s="136" t="s">
        <v>279</v>
      </c>
      <c r="E263" s="136" t="s">
        <v>36</v>
      </c>
      <c r="F263" s="136">
        <v>1.0</v>
      </c>
    </row>
    <row r="264">
      <c r="A264" s="135">
        <v>3.0</v>
      </c>
      <c r="B264" s="136" t="s">
        <v>36</v>
      </c>
      <c r="C264" s="136" t="s">
        <v>34</v>
      </c>
      <c r="D264" s="136" t="s">
        <v>495</v>
      </c>
      <c r="E264" s="136" t="s">
        <v>34</v>
      </c>
      <c r="F264" s="136">
        <v>1.0</v>
      </c>
    </row>
    <row r="265">
      <c r="A265" s="135">
        <v>3.0</v>
      </c>
      <c r="B265" s="136" t="s">
        <v>36</v>
      </c>
      <c r="C265" s="136" t="s">
        <v>34</v>
      </c>
      <c r="D265" s="136" t="s">
        <v>486</v>
      </c>
      <c r="E265" s="136" t="s">
        <v>34</v>
      </c>
      <c r="F265" s="136">
        <v>2.0</v>
      </c>
    </row>
    <row r="266">
      <c r="A266" s="135">
        <v>3.0</v>
      </c>
      <c r="B266" s="136" t="s">
        <v>36</v>
      </c>
      <c r="C266" s="136" t="s">
        <v>34</v>
      </c>
      <c r="D266" s="136" t="s">
        <v>273</v>
      </c>
      <c r="E266" s="136" t="s">
        <v>533</v>
      </c>
      <c r="F266" s="136">
        <v>1.0</v>
      </c>
    </row>
    <row r="267">
      <c r="A267" s="135">
        <v>3.0</v>
      </c>
      <c r="B267" s="136" t="s">
        <v>36</v>
      </c>
      <c r="C267" s="136" t="s">
        <v>34</v>
      </c>
      <c r="D267" s="137"/>
      <c r="E267" s="137"/>
      <c r="F267" s="137"/>
    </row>
    <row r="268">
      <c r="A268" s="135">
        <v>3.0</v>
      </c>
      <c r="B268" s="136" t="s">
        <v>36</v>
      </c>
      <c r="C268" s="136" t="s">
        <v>34</v>
      </c>
      <c r="D268" s="137"/>
      <c r="E268" s="137"/>
      <c r="F268" s="137"/>
    </row>
    <row r="269">
      <c r="A269" s="135">
        <v>3.0</v>
      </c>
      <c r="B269" s="136" t="s">
        <v>36</v>
      </c>
      <c r="C269" s="136" t="s">
        <v>34</v>
      </c>
      <c r="D269" s="137"/>
      <c r="E269" s="137"/>
      <c r="F269" s="137"/>
    </row>
    <row r="270">
      <c r="A270" s="135">
        <v>3.0</v>
      </c>
      <c r="B270" s="136" t="s">
        <v>36</v>
      </c>
      <c r="C270" s="136" t="s">
        <v>34</v>
      </c>
      <c r="D270" s="137"/>
      <c r="E270" s="137"/>
      <c r="F270" s="137"/>
    </row>
    <row r="271">
      <c r="A271" s="135">
        <v>3.0</v>
      </c>
      <c r="B271" s="136" t="s">
        <v>36</v>
      </c>
      <c r="C271" s="136" t="s">
        <v>34</v>
      </c>
      <c r="D271" s="137"/>
      <c r="E271" s="137"/>
      <c r="F271" s="137"/>
    </row>
    <row r="272">
      <c r="A272" s="138">
        <v>3.0</v>
      </c>
      <c r="B272" s="139" t="s">
        <v>17</v>
      </c>
      <c r="C272" s="139" t="s">
        <v>49</v>
      </c>
      <c r="D272" s="139" t="s">
        <v>430</v>
      </c>
      <c r="E272" s="139" t="s">
        <v>114</v>
      </c>
      <c r="F272" s="139">
        <v>2.0</v>
      </c>
    </row>
    <row r="273">
      <c r="A273" s="138">
        <v>3.0</v>
      </c>
      <c r="B273" s="139" t="s">
        <v>17</v>
      </c>
      <c r="C273" s="139" t="s">
        <v>49</v>
      </c>
      <c r="D273" s="139" t="s">
        <v>483</v>
      </c>
      <c r="E273" s="139" t="s">
        <v>49</v>
      </c>
      <c r="F273" s="139">
        <v>1.0</v>
      </c>
    </row>
    <row r="274">
      <c r="A274" s="138">
        <v>3.0</v>
      </c>
      <c r="B274" s="139" t="s">
        <v>17</v>
      </c>
      <c r="C274" s="139" t="s">
        <v>49</v>
      </c>
      <c r="D274" s="139" t="s">
        <v>476</v>
      </c>
      <c r="E274" s="139" t="s">
        <v>49</v>
      </c>
      <c r="F274" s="139">
        <v>2.0</v>
      </c>
    </row>
    <row r="275">
      <c r="A275" s="138">
        <v>3.0</v>
      </c>
      <c r="B275" s="139" t="s">
        <v>17</v>
      </c>
      <c r="C275" s="139" t="s">
        <v>49</v>
      </c>
      <c r="D275" s="139" t="s">
        <v>474</v>
      </c>
      <c r="E275" s="139" t="s">
        <v>49</v>
      </c>
      <c r="F275" s="139">
        <v>1.0</v>
      </c>
    </row>
    <row r="276">
      <c r="A276" s="138">
        <v>3.0</v>
      </c>
      <c r="B276" s="139" t="s">
        <v>17</v>
      </c>
      <c r="C276" s="139" t="s">
        <v>49</v>
      </c>
      <c r="D276" s="139" t="s">
        <v>428</v>
      </c>
      <c r="E276" s="139" t="s">
        <v>17</v>
      </c>
      <c r="F276" s="139">
        <v>1.0</v>
      </c>
    </row>
    <row r="277">
      <c r="A277" s="138">
        <v>3.0</v>
      </c>
      <c r="B277" s="139" t="s">
        <v>17</v>
      </c>
      <c r="C277" s="139" t="s">
        <v>49</v>
      </c>
      <c r="D277" s="139" t="s">
        <v>480</v>
      </c>
      <c r="E277" s="139" t="s">
        <v>49</v>
      </c>
      <c r="F277" s="139">
        <v>1.0</v>
      </c>
    </row>
    <row r="278">
      <c r="A278" s="138">
        <v>3.0</v>
      </c>
      <c r="B278" s="139" t="s">
        <v>17</v>
      </c>
      <c r="C278" s="139" t="s">
        <v>49</v>
      </c>
      <c r="D278" s="140"/>
      <c r="E278" s="140"/>
      <c r="F278" s="140"/>
    </row>
    <row r="279">
      <c r="A279" s="138">
        <v>3.0</v>
      </c>
      <c r="B279" s="139" t="s">
        <v>17</v>
      </c>
      <c r="C279" s="139" t="s">
        <v>49</v>
      </c>
      <c r="D279" s="140"/>
      <c r="E279" s="140"/>
      <c r="F279" s="140"/>
    </row>
    <row r="280">
      <c r="A280" s="138">
        <v>3.0</v>
      </c>
      <c r="B280" s="139" t="s">
        <v>17</v>
      </c>
      <c r="C280" s="139" t="s">
        <v>49</v>
      </c>
      <c r="D280" s="140"/>
      <c r="E280" s="140"/>
      <c r="F280" s="140"/>
    </row>
    <row r="281">
      <c r="A281" s="138">
        <v>3.0</v>
      </c>
      <c r="B281" s="139" t="s">
        <v>17</v>
      </c>
      <c r="C281" s="139" t="s">
        <v>49</v>
      </c>
      <c r="D281" s="140"/>
      <c r="E281" s="140"/>
      <c r="F281" s="140"/>
    </row>
    <row r="282">
      <c r="A282" s="135">
        <v>3.0</v>
      </c>
      <c r="B282" s="136" t="s">
        <v>40</v>
      </c>
      <c r="C282" s="136" t="s">
        <v>47</v>
      </c>
      <c r="D282" s="136" t="s">
        <v>323</v>
      </c>
      <c r="E282" s="136" t="s">
        <v>47</v>
      </c>
      <c r="F282" s="136">
        <v>1.0</v>
      </c>
    </row>
    <row r="283">
      <c r="A283" s="135">
        <v>3.0</v>
      </c>
      <c r="B283" s="136" t="s">
        <v>40</v>
      </c>
      <c r="C283" s="136" t="s">
        <v>47</v>
      </c>
      <c r="D283" s="136" t="s">
        <v>311</v>
      </c>
      <c r="E283" s="136" t="s">
        <v>40</v>
      </c>
      <c r="F283" s="136">
        <v>1.0</v>
      </c>
    </row>
    <row r="284">
      <c r="A284" s="135">
        <v>3.0</v>
      </c>
      <c r="B284" s="136" t="s">
        <v>40</v>
      </c>
      <c r="C284" s="136" t="s">
        <v>47</v>
      </c>
      <c r="D284" s="136" t="s">
        <v>306</v>
      </c>
      <c r="E284" s="136" t="s">
        <v>40</v>
      </c>
      <c r="F284" s="136">
        <v>1.0</v>
      </c>
    </row>
    <row r="285">
      <c r="A285" s="135">
        <v>3.0</v>
      </c>
      <c r="B285" s="136" t="s">
        <v>40</v>
      </c>
      <c r="C285" s="136" t="s">
        <v>47</v>
      </c>
      <c r="D285" s="136" t="s">
        <v>332</v>
      </c>
      <c r="E285" s="136" t="s">
        <v>47</v>
      </c>
      <c r="F285" s="136">
        <v>1.0</v>
      </c>
    </row>
    <row r="286">
      <c r="A286" s="135">
        <v>3.0</v>
      </c>
      <c r="B286" s="136" t="s">
        <v>40</v>
      </c>
      <c r="C286" s="136" t="s">
        <v>47</v>
      </c>
      <c r="D286" s="137"/>
      <c r="E286" s="137"/>
      <c r="F286" s="137"/>
    </row>
    <row r="287">
      <c r="A287" s="135">
        <v>3.0</v>
      </c>
      <c r="B287" s="136" t="s">
        <v>40</v>
      </c>
      <c r="C287" s="136" t="s">
        <v>47</v>
      </c>
      <c r="D287" s="137"/>
      <c r="E287" s="137"/>
      <c r="F287" s="137"/>
    </row>
    <row r="288">
      <c r="A288" s="135">
        <v>3.0</v>
      </c>
      <c r="B288" s="136" t="s">
        <v>40</v>
      </c>
      <c r="C288" s="136" t="s">
        <v>47</v>
      </c>
      <c r="D288" s="137"/>
      <c r="E288" s="137"/>
      <c r="F288" s="137"/>
    </row>
    <row r="289">
      <c r="A289" s="135">
        <v>3.0</v>
      </c>
      <c r="B289" s="136" t="s">
        <v>40</v>
      </c>
      <c r="C289" s="136" t="s">
        <v>47</v>
      </c>
      <c r="D289" s="137"/>
      <c r="E289" s="137"/>
      <c r="F289" s="137"/>
    </row>
    <row r="290">
      <c r="A290" s="135">
        <v>3.0</v>
      </c>
      <c r="B290" s="136" t="s">
        <v>40</v>
      </c>
      <c r="C290" s="136" t="s">
        <v>47</v>
      </c>
      <c r="D290" s="137"/>
      <c r="E290" s="137"/>
      <c r="F290" s="137"/>
    </row>
    <row r="291">
      <c r="A291" s="135">
        <v>3.0</v>
      </c>
      <c r="B291" s="136" t="s">
        <v>40</v>
      </c>
      <c r="C291" s="136" t="s">
        <v>47</v>
      </c>
      <c r="D291" s="137"/>
      <c r="E291" s="137"/>
      <c r="F291" s="137"/>
    </row>
    <row r="292">
      <c r="A292" s="138">
        <v>3.0</v>
      </c>
      <c r="B292" s="139" t="s">
        <v>16</v>
      </c>
      <c r="C292" s="139" t="s">
        <v>27</v>
      </c>
      <c r="D292" s="139" t="s">
        <v>233</v>
      </c>
      <c r="E292" s="139" t="s">
        <v>27</v>
      </c>
      <c r="F292" s="139">
        <v>1.0</v>
      </c>
    </row>
    <row r="293">
      <c r="A293" s="138">
        <v>3.0</v>
      </c>
      <c r="B293" s="139" t="s">
        <v>16</v>
      </c>
      <c r="C293" s="139" t="s">
        <v>27</v>
      </c>
      <c r="D293" s="139" t="s">
        <v>162</v>
      </c>
      <c r="E293" s="139" t="s">
        <v>16</v>
      </c>
      <c r="F293" s="139">
        <v>3.0</v>
      </c>
    </row>
    <row r="294">
      <c r="A294" s="138">
        <v>3.0</v>
      </c>
      <c r="B294" s="139" t="s">
        <v>16</v>
      </c>
      <c r="C294" s="139" t="s">
        <v>27</v>
      </c>
      <c r="D294" s="139" t="s">
        <v>169</v>
      </c>
      <c r="E294" s="139" t="s">
        <v>16</v>
      </c>
      <c r="F294" s="139">
        <v>2.0</v>
      </c>
    </row>
    <row r="295">
      <c r="A295" s="138">
        <v>3.0</v>
      </c>
      <c r="B295" s="139" t="s">
        <v>16</v>
      </c>
      <c r="C295" s="139" t="s">
        <v>27</v>
      </c>
      <c r="D295" s="139" t="s">
        <v>237</v>
      </c>
      <c r="E295" s="139" t="s">
        <v>27</v>
      </c>
      <c r="F295" s="139">
        <v>1.0</v>
      </c>
    </row>
    <row r="296">
      <c r="A296" s="138">
        <v>3.0</v>
      </c>
      <c r="B296" s="139" t="s">
        <v>16</v>
      </c>
      <c r="C296" s="139" t="s">
        <v>27</v>
      </c>
      <c r="D296" s="140"/>
      <c r="E296" s="140"/>
      <c r="F296" s="140"/>
    </row>
    <row r="297">
      <c r="A297" s="138">
        <v>3.0</v>
      </c>
      <c r="B297" s="139" t="s">
        <v>16</v>
      </c>
      <c r="C297" s="139" t="s">
        <v>27</v>
      </c>
      <c r="D297" s="140"/>
      <c r="E297" s="140"/>
      <c r="F297" s="140"/>
    </row>
    <row r="298">
      <c r="A298" s="138">
        <v>3.0</v>
      </c>
      <c r="B298" s="139" t="s">
        <v>16</v>
      </c>
      <c r="C298" s="139" t="s">
        <v>27</v>
      </c>
      <c r="D298" s="140"/>
      <c r="E298" s="140"/>
      <c r="F298" s="140"/>
    </row>
    <row r="299">
      <c r="A299" s="138">
        <v>3.0</v>
      </c>
      <c r="B299" s="139" t="s">
        <v>16</v>
      </c>
      <c r="C299" s="139" t="s">
        <v>27</v>
      </c>
      <c r="D299" s="140"/>
      <c r="E299" s="140"/>
      <c r="F299" s="140"/>
    </row>
    <row r="300">
      <c r="A300" s="138">
        <v>3.0</v>
      </c>
      <c r="B300" s="139" t="s">
        <v>16</v>
      </c>
      <c r="C300" s="139" t="s">
        <v>27</v>
      </c>
      <c r="D300" s="140"/>
      <c r="E300" s="140"/>
      <c r="F300" s="140"/>
    </row>
    <row r="301">
      <c r="A301" s="138">
        <v>3.0</v>
      </c>
      <c r="B301" s="139" t="s">
        <v>16</v>
      </c>
      <c r="C301" s="139" t="s">
        <v>27</v>
      </c>
      <c r="D301" s="140"/>
      <c r="E301" s="140"/>
      <c r="F301" s="140"/>
    </row>
    <row r="302">
      <c r="A302" s="135">
        <v>3.0</v>
      </c>
      <c r="B302" s="136" t="s">
        <v>43</v>
      </c>
      <c r="C302" s="136" t="s">
        <v>46</v>
      </c>
      <c r="D302" s="136" t="s">
        <v>207</v>
      </c>
      <c r="E302" s="136" t="s">
        <v>46</v>
      </c>
      <c r="F302" s="136">
        <v>2.0</v>
      </c>
    </row>
    <row r="303">
      <c r="A303" s="135">
        <v>3.0</v>
      </c>
      <c r="B303" s="136" t="s">
        <v>43</v>
      </c>
      <c r="C303" s="136" t="s">
        <v>46</v>
      </c>
      <c r="D303" s="136" t="s">
        <v>438</v>
      </c>
      <c r="E303" s="136" t="s">
        <v>43</v>
      </c>
      <c r="F303" s="136">
        <v>2.0</v>
      </c>
    </row>
    <row r="304">
      <c r="A304" s="135">
        <v>3.0</v>
      </c>
      <c r="B304" s="136" t="s">
        <v>43</v>
      </c>
      <c r="C304" s="136" t="s">
        <v>46</v>
      </c>
      <c r="D304" s="136" t="s">
        <v>442</v>
      </c>
      <c r="E304" s="136" t="s">
        <v>43</v>
      </c>
      <c r="F304" s="136">
        <v>1.0</v>
      </c>
    </row>
    <row r="305">
      <c r="A305" s="135">
        <v>3.0</v>
      </c>
      <c r="B305" s="136" t="s">
        <v>43</v>
      </c>
      <c r="C305" s="136" t="s">
        <v>46</v>
      </c>
      <c r="D305" s="136" t="s">
        <v>199</v>
      </c>
      <c r="E305" s="136" t="s">
        <v>46</v>
      </c>
      <c r="F305" s="136">
        <v>1.0</v>
      </c>
    </row>
    <row r="306">
      <c r="A306" s="135">
        <v>3.0</v>
      </c>
      <c r="B306" s="136" t="s">
        <v>43</v>
      </c>
      <c r="C306" s="136" t="s">
        <v>46</v>
      </c>
      <c r="D306" s="136" t="s">
        <v>197</v>
      </c>
      <c r="E306" s="136" t="s">
        <v>46</v>
      </c>
      <c r="F306" s="136">
        <v>1.0</v>
      </c>
    </row>
    <row r="307">
      <c r="A307" s="135">
        <v>3.0</v>
      </c>
      <c r="B307" s="136" t="s">
        <v>43</v>
      </c>
      <c r="C307" s="136" t="s">
        <v>46</v>
      </c>
      <c r="D307" s="137"/>
      <c r="E307" s="137"/>
      <c r="F307" s="137"/>
    </row>
    <row r="308">
      <c r="A308" s="135">
        <v>3.0</v>
      </c>
      <c r="B308" s="136" t="s">
        <v>43</v>
      </c>
      <c r="C308" s="136" t="s">
        <v>46</v>
      </c>
      <c r="D308" s="137"/>
      <c r="E308" s="137"/>
      <c r="F308" s="137"/>
    </row>
    <row r="309">
      <c r="A309" s="135">
        <v>3.0</v>
      </c>
      <c r="B309" s="136" t="s">
        <v>43</v>
      </c>
      <c r="C309" s="136" t="s">
        <v>46</v>
      </c>
      <c r="D309" s="137"/>
      <c r="E309" s="137"/>
      <c r="F309" s="137"/>
    </row>
    <row r="310">
      <c r="A310" s="135">
        <v>3.0</v>
      </c>
      <c r="B310" s="136" t="s">
        <v>43</v>
      </c>
      <c r="C310" s="136" t="s">
        <v>46</v>
      </c>
      <c r="D310" s="137"/>
      <c r="E310" s="137"/>
      <c r="F310" s="137"/>
    </row>
    <row r="311">
      <c r="A311" s="135">
        <v>3.0</v>
      </c>
      <c r="B311" s="136" t="s">
        <v>43</v>
      </c>
      <c r="C311" s="136" t="s">
        <v>46</v>
      </c>
      <c r="D311" s="137"/>
      <c r="E311" s="137"/>
      <c r="F311" s="137"/>
    </row>
    <row r="312">
      <c r="A312" s="138">
        <v>3.0</v>
      </c>
      <c r="B312" s="139" t="s">
        <v>20</v>
      </c>
      <c r="C312" s="139" t="s">
        <v>50</v>
      </c>
      <c r="D312" s="139" t="s">
        <v>301</v>
      </c>
      <c r="E312" s="139" t="s">
        <v>50</v>
      </c>
      <c r="F312" s="139">
        <v>1.0</v>
      </c>
    </row>
    <row r="313">
      <c r="A313" s="138">
        <v>3.0</v>
      </c>
      <c r="B313" s="139" t="s">
        <v>20</v>
      </c>
      <c r="C313" s="139" t="s">
        <v>50</v>
      </c>
      <c r="D313" s="139" t="s">
        <v>300</v>
      </c>
      <c r="E313" s="139" t="s">
        <v>50</v>
      </c>
      <c r="F313" s="140"/>
    </row>
    <row r="314">
      <c r="A314" s="138">
        <v>3.0</v>
      </c>
      <c r="B314" s="139" t="s">
        <v>20</v>
      </c>
      <c r="C314" s="139" t="s">
        <v>50</v>
      </c>
      <c r="D314" s="139" t="s">
        <v>365</v>
      </c>
      <c r="E314" s="139" t="s">
        <v>20</v>
      </c>
      <c r="F314" s="139">
        <v>1.0</v>
      </c>
    </row>
    <row r="315">
      <c r="A315" s="138">
        <v>3.0</v>
      </c>
      <c r="B315" s="139" t="s">
        <v>20</v>
      </c>
      <c r="C315" s="139" t="s">
        <v>50</v>
      </c>
      <c r="D315" s="140"/>
      <c r="E315" s="140"/>
      <c r="F315" s="140"/>
    </row>
    <row r="316">
      <c r="A316" s="138">
        <v>3.0</v>
      </c>
      <c r="B316" s="139" t="s">
        <v>20</v>
      </c>
      <c r="C316" s="139" t="s">
        <v>50</v>
      </c>
      <c r="D316" s="140"/>
      <c r="E316" s="140"/>
      <c r="F316" s="140"/>
    </row>
    <row r="317">
      <c r="A317" s="138">
        <v>3.0</v>
      </c>
      <c r="B317" s="139" t="s">
        <v>20</v>
      </c>
      <c r="C317" s="139" t="s">
        <v>50</v>
      </c>
      <c r="D317" s="140"/>
      <c r="E317" s="140"/>
      <c r="F317" s="140"/>
    </row>
    <row r="318">
      <c r="A318" s="138">
        <v>3.0</v>
      </c>
      <c r="B318" s="139" t="s">
        <v>20</v>
      </c>
      <c r="C318" s="139" t="s">
        <v>50</v>
      </c>
      <c r="D318" s="140"/>
      <c r="E318" s="140"/>
      <c r="F318" s="140"/>
    </row>
    <row r="319">
      <c r="A319" s="138">
        <v>3.0</v>
      </c>
      <c r="B319" s="139" t="s">
        <v>20</v>
      </c>
      <c r="C319" s="139" t="s">
        <v>50</v>
      </c>
      <c r="D319" s="140"/>
      <c r="E319" s="140"/>
      <c r="F319" s="140"/>
    </row>
    <row r="320">
      <c r="A320" s="138">
        <v>3.0</v>
      </c>
      <c r="B320" s="139" t="s">
        <v>20</v>
      </c>
      <c r="C320" s="139" t="s">
        <v>50</v>
      </c>
      <c r="D320" s="140"/>
      <c r="E320" s="140"/>
      <c r="F320" s="140"/>
    </row>
    <row r="321">
      <c r="A321" s="138">
        <v>3.0</v>
      </c>
      <c r="B321" s="139" t="s">
        <v>20</v>
      </c>
      <c r="C321" s="139" t="s">
        <v>50</v>
      </c>
      <c r="D321" s="140"/>
      <c r="E321" s="140"/>
      <c r="F321" s="140"/>
    </row>
    <row r="322">
      <c r="A322" s="135">
        <v>3.0</v>
      </c>
      <c r="B322" s="136" t="s">
        <v>13</v>
      </c>
      <c r="C322" s="136" t="s">
        <v>44</v>
      </c>
      <c r="D322" s="136" t="s">
        <v>501</v>
      </c>
      <c r="E322" s="136" t="s">
        <v>44</v>
      </c>
      <c r="F322" s="136">
        <v>2.0</v>
      </c>
    </row>
    <row r="323">
      <c r="A323" s="135">
        <v>3.0</v>
      </c>
      <c r="B323" s="136" t="s">
        <v>13</v>
      </c>
      <c r="C323" s="136" t="s">
        <v>44</v>
      </c>
      <c r="D323" s="136" t="s">
        <v>389</v>
      </c>
      <c r="E323" s="136" t="s">
        <v>13</v>
      </c>
      <c r="F323" s="136">
        <v>1.0</v>
      </c>
    </row>
    <row r="324">
      <c r="A324" s="135">
        <v>3.0</v>
      </c>
      <c r="B324" s="136" t="s">
        <v>13</v>
      </c>
      <c r="C324" s="136" t="s">
        <v>44</v>
      </c>
      <c r="D324" s="136" t="s">
        <v>394</v>
      </c>
      <c r="E324" s="136" t="s">
        <v>13</v>
      </c>
      <c r="F324" s="136">
        <v>7.0</v>
      </c>
    </row>
    <row r="325">
      <c r="A325" s="135">
        <v>3.0</v>
      </c>
      <c r="B325" s="136" t="s">
        <v>13</v>
      </c>
      <c r="C325" s="136" t="s">
        <v>44</v>
      </c>
      <c r="D325" s="136" t="s">
        <v>500</v>
      </c>
      <c r="E325" s="136" t="s">
        <v>44</v>
      </c>
      <c r="F325" s="136">
        <v>1.0</v>
      </c>
    </row>
    <row r="326">
      <c r="A326" s="135">
        <v>3.0</v>
      </c>
      <c r="B326" s="136" t="s">
        <v>13</v>
      </c>
      <c r="C326" s="136" t="s">
        <v>44</v>
      </c>
      <c r="D326" s="136" t="s">
        <v>510</v>
      </c>
      <c r="E326" s="136" t="s">
        <v>44</v>
      </c>
      <c r="F326" s="136">
        <v>1.0</v>
      </c>
    </row>
    <row r="327">
      <c r="A327" s="135">
        <v>3.0</v>
      </c>
      <c r="B327" s="136" t="s">
        <v>13</v>
      </c>
      <c r="C327" s="136" t="s">
        <v>44</v>
      </c>
      <c r="D327" s="136" t="s">
        <v>384</v>
      </c>
      <c r="E327" s="136" t="s">
        <v>13</v>
      </c>
      <c r="F327" s="136">
        <v>1.0</v>
      </c>
    </row>
    <row r="328">
      <c r="A328" s="135">
        <v>3.0</v>
      </c>
      <c r="B328" s="136" t="s">
        <v>13</v>
      </c>
      <c r="C328" s="136" t="s">
        <v>44</v>
      </c>
      <c r="D328" s="136" t="s">
        <v>381</v>
      </c>
      <c r="E328" s="136" t="s">
        <v>13</v>
      </c>
      <c r="F328" s="136">
        <v>1.0</v>
      </c>
    </row>
    <row r="329">
      <c r="A329" s="135">
        <v>3.0</v>
      </c>
      <c r="B329" s="136" t="s">
        <v>13</v>
      </c>
      <c r="C329" s="136" t="s">
        <v>44</v>
      </c>
      <c r="D329" s="137"/>
      <c r="E329" s="137"/>
      <c r="F329" s="137"/>
    </row>
    <row r="330">
      <c r="A330" s="135">
        <v>3.0</v>
      </c>
      <c r="B330" s="136" t="s">
        <v>13</v>
      </c>
      <c r="C330" s="136" t="s">
        <v>44</v>
      </c>
      <c r="D330" s="137"/>
      <c r="E330" s="137"/>
      <c r="F330" s="137"/>
    </row>
    <row r="331">
      <c r="A331" s="135">
        <v>3.0</v>
      </c>
      <c r="B331" s="136" t="s">
        <v>13</v>
      </c>
      <c r="C331" s="136" t="s">
        <v>44</v>
      </c>
      <c r="D331" s="137"/>
      <c r="E331" s="137"/>
      <c r="F331" s="137"/>
    </row>
    <row r="332">
      <c r="A332" s="138">
        <v>3.0</v>
      </c>
      <c r="B332" s="139" t="s">
        <v>30</v>
      </c>
      <c r="C332" s="139" t="s">
        <v>28</v>
      </c>
      <c r="D332" s="139" t="s">
        <v>255</v>
      </c>
      <c r="E332" s="139" t="s">
        <v>30</v>
      </c>
      <c r="F332" s="139">
        <v>2.0</v>
      </c>
    </row>
    <row r="333">
      <c r="A333" s="138">
        <v>3.0</v>
      </c>
      <c r="B333" s="139" t="s">
        <v>30</v>
      </c>
      <c r="C333" s="139" t="s">
        <v>28</v>
      </c>
      <c r="D333" s="139" t="s">
        <v>253</v>
      </c>
      <c r="E333" s="139" t="s">
        <v>30</v>
      </c>
      <c r="F333" s="139">
        <v>4.0</v>
      </c>
    </row>
    <row r="334">
      <c r="A334" s="138">
        <v>3.0</v>
      </c>
      <c r="B334" s="139" t="s">
        <v>30</v>
      </c>
      <c r="C334" s="139" t="s">
        <v>28</v>
      </c>
      <c r="D334" s="139" t="s">
        <v>262</v>
      </c>
      <c r="E334" s="139" t="s">
        <v>30</v>
      </c>
      <c r="F334" s="139">
        <v>3.0</v>
      </c>
    </row>
    <row r="335">
      <c r="A335" s="138">
        <v>3.0</v>
      </c>
      <c r="B335" s="139" t="s">
        <v>30</v>
      </c>
      <c r="C335" s="139" t="s">
        <v>28</v>
      </c>
      <c r="D335" s="139" t="s">
        <v>470</v>
      </c>
      <c r="E335" s="139" t="s">
        <v>28</v>
      </c>
      <c r="F335" s="139">
        <v>1.0</v>
      </c>
    </row>
    <row r="336">
      <c r="A336" s="138">
        <v>3.0</v>
      </c>
      <c r="B336" s="139" t="s">
        <v>30</v>
      </c>
      <c r="C336" s="139" t="s">
        <v>28</v>
      </c>
      <c r="D336" s="139" t="s">
        <v>258</v>
      </c>
      <c r="E336" s="139" t="s">
        <v>30</v>
      </c>
      <c r="F336" s="139">
        <v>1.0</v>
      </c>
    </row>
    <row r="337">
      <c r="A337" s="138">
        <v>3.0</v>
      </c>
      <c r="B337" s="139" t="s">
        <v>30</v>
      </c>
      <c r="C337" s="139" t="s">
        <v>28</v>
      </c>
      <c r="D337" s="140"/>
      <c r="E337" s="140"/>
      <c r="F337" s="140"/>
    </row>
    <row r="338">
      <c r="A338" s="138">
        <v>3.0</v>
      </c>
      <c r="B338" s="139" t="s">
        <v>30</v>
      </c>
      <c r="C338" s="139" t="s">
        <v>28</v>
      </c>
      <c r="D338" s="140"/>
      <c r="E338" s="140"/>
      <c r="F338" s="140"/>
    </row>
    <row r="339">
      <c r="A339" s="138">
        <v>3.0</v>
      </c>
      <c r="B339" s="139" t="s">
        <v>30</v>
      </c>
      <c r="C339" s="139" t="s">
        <v>28</v>
      </c>
      <c r="D339" s="140"/>
      <c r="E339" s="140"/>
      <c r="F339" s="140"/>
    </row>
    <row r="340">
      <c r="A340" s="138">
        <v>3.0</v>
      </c>
      <c r="B340" s="139" t="s">
        <v>30</v>
      </c>
      <c r="C340" s="139" t="s">
        <v>28</v>
      </c>
      <c r="D340" s="140"/>
      <c r="E340" s="140"/>
      <c r="F340" s="140"/>
    </row>
    <row r="341">
      <c r="A341" s="138">
        <v>3.0</v>
      </c>
      <c r="B341" s="139" t="s">
        <v>30</v>
      </c>
      <c r="C341" s="139" t="s">
        <v>28</v>
      </c>
      <c r="D341" s="140"/>
      <c r="E341" s="140"/>
      <c r="F341" s="140"/>
    </row>
    <row r="342">
      <c r="A342" s="135">
        <v>3.0</v>
      </c>
      <c r="B342" s="136" t="s">
        <v>11</v>
      </c>
      <c r="C342" s="136" t="s">
        <v>25</v>
      </c>
      <c r="D342" s="136" t="s">
        <v>415</v>
      </c>
      <c r="E342" s="136" t="s">
        <v>11</v>
      </c>
      <c r="F342" s="136">
        <v>1.0</v>
      </c>
    </row>
    <row r="343">
      <c r="A343" s="135">
        <v>3.0</v>
      </c>
      <c r="B343" s="136" t="s">
        <v>11</v>
      </c>
      <c r="C343" s="136" t="s">
        <v>25</v>
      </c>
      <c r="D343" s="136" t="s">
        <v>350</v>
      </c>
      <c r="E343" s="136" t="s">
        <v>25</v>
      </c>
      <c r="F343" s="136">
        <v>1.0</v>
      </c>
    </row>
    <row r="344">
      <c r="A344" s="135">
        <v>3.0</v>
      </c>
      <c r="B344" s="136" t="s">
        <v>11</v>
      </c>
      <c r="C344" s="136" t="s">
        <v>25</v>
      </c>
      <c r="D344" s="136" t="s">
        <v>425</v>
      </c>
      <c r="E344" s="136" t="s">
        <v>11</v>
      </c>
      <c r="F344" s="136">
        <v>6.0</v>
      </c>
    </row>
    <row r="345">
      <c r="A345" s="135">
        <v>3.0</v>
      </c>
      <c r="B345" s="136" t="s">
        <v>11</v>
      </c>
      <c r="C345" s="136" t="s">
        <v>25</v>
      </c>
      <c r="D345" s="136" t="s">
        <v>423</v>
      </c>
      <c r="E345" s="136" t="s">
        <v>11</v>
      </c>
      <c r="F345" s="136">
        <v>1.0</v>
      </c>
    </row>
    <row r="346">
      <c r="A346" s="135">
        <v>3.0</v>
      </c>
      <c r="B346" s="136" t="s">
        <v>11</v>
      </c>
      <c r="C346" s="136" t="s">
        <v>25</v>
      </c>
      <c r="D346" s="136" t="s">
        <v>417</v>
      </c>
      <c r="E346" s="136" t="s">
        <v>11</v>
      </c>
      <c r="F346" s="136">
        <v>1.0</v>
      </c>
    </row>
    <row r="347">
      <c r="A347" s="135">
        <v>3.0</v>
      </c>
      <c r="B347" s="136" t="s">
        <v>11</v>
      </c>
      <c r="C347" s="136" t="s">
        <v>25</v>
      </c>
      <c r="D347" s="137"/>
      <c r="E347" s="137"/>
      <c r="F347" s="137"/>
    </row>
    <row r="348">
      <c r="A348" s="135">
        <v>3.0</v>
      </c>
      <c r="B348" s="136" t="s">
        <v>11</v>
      </c>
      <c r="C348" s="136" t="s">
        <v>25</v>
      </c>
      <c r="D348" s="137"/>
      <c r="E348" s="137"/>
      <c r="F348" s="137"/>
    </row>
    <row r="349">
      <c r="A349" s="135">
        <v>3.0</v>
      </c>
      <c r="B349" s="136" t="s">
        <v>11</v>
      </c>
      <c r="C349" s="136" t="s">
        <v>25</v>
      </c>
      <c r="D349" s="137"/>
      <c r="E349" s="137"/>
      <c r="F349" s="137"/>
    </row>
    <row r="350">
      <c r="A350" s="135">
        <v>3.0</v>
      </c>
      <c r="B350" s="136" t="s">
        <v>11</v>
      </c>
      <c r="C350" s="136" t="s">
        <v>25</v>
      </c>
      <c r="D350" s="137"/>
      <c r="E350" s="137"/>
      <c r="F350" s="137"/>
    </row>
    <row r="351">
      <c r="A351" s="135">
        <v>3.0</v>
      </c>
      <c r="B351" s="136" t="s">
        <v>11</v>
      </c>
      <c r="C351" s="136" t="s">
        <v>25</v>
      </c>
      <c r="D351" s="137"/>
      <c r="E351" s="137"/>
      <c r="F351" s="137"/>
    </row>
    <row r="352">
      <c r="A352" s="138">
        <v>3.0</v>
      </c>
      <c r="B352" s="139" t="s">
        <v>41</v>
      </c>
      <c r="C352" s="139" t="s">
        <v>33</v>
      </c>
      <c r="D352" s="139" t="s">
        <v>250</v>
      </c>
      <c r="E352" s="139" t="s">
        <v>33</v>
      </c>
      <c r="F352" s="139">
        <v>1.0</v>
      </c>
    </row>
    <row r="353">
      <c r="A353" s="138">
        <v>3.0</v>
      </c>
      <c r="B353" s="139" t="s">
        <v>41</v>
      </c>
      <c r="C353" s="139" t="s">
        <v>33</v>
      </c>
      <c r="D353" s="139" t="s">
        <v>241</v>
      </c>
      <c r="E353" s="139" t="s">
        <v>33</v>
      </c>
      <c r="F353" s="139">
        <v>1.0</v>
      </c>
    </row>
    <row r="354">
      <c r="A354" s="138">
        <v>3.0</v>
      </c>
      <c r="B354" s="139" t="s">
        <v>41</v>
      </c>
      <c r="C354" s="139" t="s">
        <v>33</v>
      </c>
      <c r="D354" s="139" t="s">
        <v>186</v>
      </c>
      <c r="E354" s="139" t="s">
        <v>532</v>
      </c>
      <c r="F354" s="139">
        <v>1.0</v>
      </c>
    </row>
    <row r="355">
      <c r="A355" s="138">
        <v>3.0</v>
      </c>
      <c r="B355" s="139" t="s">
        <v>41</v>
      </c>
      <c r="C355" s="139" t="s">
        <v>33</v>
      </c>
      <c r="D355" s="139" t="s">
        <v>243</v>
      </c>
      <c r="E355" s="139" t="s">
        <v>33</v>
      </c>
      <c r="F355" s="139">
        <v>2.0</v>
      </c>
    </row>
    <row r="356">
      <c r="A356" s="138">
        <v>3.0</v>
      </c>
      <c r="B356" s="139" t="s">
        <v>41</v>
      </c>
      <c r="C356" s="139" t="s">
        <v>33</v>
      </c>
      <c r="D356" s="139" t="s">
        <v>246</v>
      </c>
      <c r="E356" s="139" t="s">
        <v>33</v>
      </c>
      <c r="F356" s="139">
        <v>1.0</v>
      </c>
    </row>
    <row r="357">
      <c r="A357" s="138">
        <v>3.0</v>
      </c>
      <c r="B357" s="139" t="s">
        <v>41</v>
      </c>
      <c r="C357" s="139" t="s">
        <v>33</v>
      </c>
      <c r="D357" s="140"/>
      <c r="E357" s="140"/>
      <c r="F357" s="140"/>
    </row>
    <row r="358">
      <c r="A358" s="138">
        <v>3.0</v>
      </c>
      <c r="B358" s="139" t="s">
        <v>41</v>
      </c>
      <c r="C358" s="139" t="s">
        <v>33</v>
      </c>
      <c r="D358" s="140"/>
      <c r="E358" s="140"/>
      <c r="F358" s="140"/>
    </row>
    <row r="359">
      <c r="A359" s="138">
        <v>3.0</v>
      </c>
      <c r="B359" s="139" t="s">
        <v>41</v>
      </c>
      <c r="C359" s="139" t="s">
        <v>33</v>
      </c>
      <c r="D359" s="140"/>
      <c r="E359" s="140"/>
      <c r="F359" s="140"/>
    </row>
    <row r="360">
      <c r="A360" s="138">
        <v>3.0</v>
      </c>
      <c r="B360" s="139" t="s">
        <v>41</v>
      </c>
      <c r="C360" s="139" t="s">
        <v>33</v>
      </c>
      <c r="D360" s="140"/>
      <c r="E360" s="140"/>
      <c r="F360" s="140"/>
    </row>
    <row r="361">
      <c r="A361" s="138">
        <v>3.0</v>
      </c>
      <c r="B361" s="139" t="s">
        <v>41</v>
      </c>
      <c r="C361" s="139" t="s">
        <v>33</v>
      </c>
      <c r="D361" s="140"/>
      <c r="E361" s="140"/>
      <c r="F361" s="140"/>
    </row>
    <row r="362">
      <c r="A362" s="135">
        <v>4.0</v>
      </c>
      <c r="B362" s="136" t="s">
        <v>21</v>
      </c>
      <c r="C362" s="136" t="s">
        <v>47</v>
      </c>
      <c r="D362" s="136" t="s">
        <v>329</v>
      </c>
      <c r="E362" s="136" t="s">
        <v>47</v>
      </c>
      <c r="F362" s="136">
        <v>2.0</v>
      </c>
    </row>
    <row r="363">
      <c r="A363" s="135">
        <v>4.0</v>
      </c>
      <c r="B363" s="136" t="s">
        <v>21</v>
      </c>
      <c r="C363" s="136" t="s">
        <v>47</v>
      </c>
      <c r="D363" s="136" t="s">
        <v>142</v>
      </c>
      <c r="E363" s="136" t="s">
        <v>21</v>
      </c>
      <c r="F363" s="136">
        <v>2.0</v>
      </c>
    </row>
    <row r="364">
      <c r="A364" s="135">
        <v>4.0</v>
      </c>
      <c r="B364" s="136" t="s">
        <v>21</v>
      </c>
      <c r="C364" s="136" t="s">
        <v>47</v>
      </c>
      <c r="D364" s="136" t="s">
        <v>140</v>
      </c>
      <c r="E364" s="136" t="s">
        <v>21</v>
      </c>
      <c r="F364" s="136">
        <v>1.0</v>
      </c>
    </row>
    <row r="365">
      <c r="A365" s="135">
        <v>4.0</v>
      </c>
      <c r="B365" s="136" t="s">
        <v>21</v>
      </c>
      <c r="C365" s="136" t="s">
        <v>47</v>
      </c>
      <c r="D365" s="136" t="s">
        <v>150</v>
      </c>
      <c r="E365" s="136" t="s">
        <v>21</v>
      </c>
      <c r="F365" s="136">
        <v>1.0</v>
      </c>
    </row>
    <row r="366">
      <c r="A366" s="135">
        <v>4.0</v>
      </c>
      <c r="B366" s="136" t="s">
        <v>21</v>
      </c>
      <c r="C366" s="136" t="s">
        <v>47</v>
      </c>
      <c r="D366" s="136" t="s">
        <v>148</v>
      </c>
      <c r="E366" s="136" t="s">
        <v>21</v>
      </c>
      <c r="F366" s="136">
        <v>2.0</v>
      </c>
    </row>
    <row r="367">
      <c r="A367" s="135">
        <v>4.0</v>
      </c>
      <c r="B367" s="136" t="s">
        <v>21</v>
      </c>
      <c r="C367" s="136" t="s">
        <v>47</v>
      </c>
      <c r="D367" s="136" t="s">
        <v>330</v>
      </c>
      <c r="E367" s="136" t="s">
        <v>47</v>
      </c>
      <c r="F367" s="136">
        <v>1.0</v>
      </c>
    </row>
    <row r="368">
      <c r="A368" s="135">
        <v>4.0</v>
      </c>
      <c r="B368" s="136" t="s">
        <v>21</v>
      </c>
      <c r="C368" s="136" t="s">
        <v>47</v>
      </c>
      <c r="D368" s="136" t="s">
        <v>327</v>
      </c>
      <c r="E368" s="136" t="s">
        <v>47</v>
      </c>
      <c r="F368" s="136">
        <v>2.0</v>
      </c>
    </row>
    <row r="369">
      <c r="A369" s="135">
        <v>4.0</v>
      </c>
      <c r="B369" s="136" t="s">
        <v>21</v>
      </c>
      <c r="C369" s="136" t="s">
        <v>47</v>
      </c>
      <c r="D369" s="136" t="s">
        <v>144</v>
      </c>
      <c r="E369" s="136" t="s">
        <v>21</v>
      </c>
      <c r="F369" s="136">
        <v>2.0</v>
      </c>
    </row>
    <row r="370">
      <c r="A370" s="135">
        <v>4.0</v>
      </c>
      <c r="B370" s="136" t="s">
        <v>21</v>
      </c>
      <c r="C370" s="136" t="s">
        <v>47</v>
      </c>
      <c r="D370" s="137"/>
      <c r="E370" s="137"/>
      <c r="F370" s="137"/>
    </row>
    <row r="371">
      <c r="A371" s="135">
        <v>4.0</v>
      </c>
      <c r="B371" s="136" t="s">
        <v>21</v>
      </c>
      <c r="C371" s="136" t="s">
        <v>47</v>
      </c>
      <c r="D371" s="137"/>
      <c r="E371" s="137"/>
      <c r="F371" s="137"/>
    </row>
    <row r="372">
      <c r="A372" s="138">
        <v>4.0</v>
      </c>
      <c r="B372" s="139" t="s">
        <v>27</v>
      </c>
      <c r="C372" s="139" t="s">
        <v>31</v>
      </c>
      <c r="D372" s="139" t="s">
        <v>226</v>
      </c>
      <c r="E372" s="139" t="s">
        <v>27</v>
      </c>
      <c r="F372" s="139">
        <v>1.0</v>
      </c>
    </row>
    <row r="373">
      <c r="A373" s="138">
        <v>4.0</v>
      </c>
      <c r="B373" s="139" t="s">
        <v>27</v>
      </c>
      <c r="C373" s="139" t="s">
        <v>31</v>
      </c>
      <c r="D373" s="139" t="s">
        <v>340</v>
      </c>
      <c r="E373" s="139" t="s">
        <v>31</v>
      </c>
      <c r="F373" s="139">
        <v>3.0</v>
      </c>
    </row>
    <row r="374">
      <c r="A374" s="138">
        <v>4.0</v>
      </c>
      <c r="B374" s="139" t="s">
        <v>27</v>
      </c>
      <c r="C374" s="139" t="s">
        <v>31</v>
      </c>
      <c r="D374" s="139" t="s">
        <v>233</v>
      </c>
      <c r="E374" s="139" t="s">
        <v>27</v>
      </c>
      <c r="F374" s="139">
        <v>2.0</v>
      </c>
    </row>
    <row r="375">
      <c r="A375" s="138">
        <v>4.0</v>
      </c>
      <c r="B375" s="139" t="s">
        <v>27</v>
      </c>
      <c r="C375" s="139" t="s">
        <v>31</v>
      </c>
      <c r="D375" s="139" t="s">
        <v>343</v>
      </c>
      <c r="E375" s="139" t="s">
        <v>31</v>
      </c>
      <c r="F375" s="139">
        <v>4.0</v>
      </c>
    </row>
    <row r="376">
      <c r="A376" s="138">
        <v>4.0</v>
      </c>
      <c r="B376" s="139" t="s">
        <v>27</v>
      </c>
      <c r="C376" s="139" t="s">
        <v>31</v>
      </c>
      <c r="D376" s="139" t="s">
        <v>344</v>
      </c>
      <c r="E376" s="139" t="s">
        <v>31</v>
      </c>
      <c r="F376" s="139">
        <v>1.0</v>
      </c>
    </row>
    <row r="377">
      <c r="A377" s="138">
        <v>4.0</v>
      </c>
      <c r="B377" s="139" t="s">
        <v>27</v>
      </c>
      <c r="C377" s="139" t="s">
        <v>31</v>
      </c>
      <c r="D377" s="139" t="s">
        <v>237</v>
      </c>
      <c r="E377" s="139" t="s">
        <v>27</v>
      </c>
      <c r="F377" s="139">
        <v>1.0</v>
      </c>
    </row>
    <row r="378">
      <c r="A378" s="138">
        <v>4.0</v>
      </c>
      <c r="B378" s="139" t="s">
        <v>27</v>
      </c>
      <c r="C378" s="139" t="s">
        <v>31</v>
      </c>
      <c r="D378" s="140"/>
      <c r="E378" s="140"/>
      <c r="F378" s="140"/>
    </row>
    <row r="379">
      <c r="A379" s="138">
        <v>4.0</v>
      </c>
      <c r="B379" s="139" t="s">
        <v>27</v>
      </c>
      <c r="C379" s="139" t="s">
        <v>31</v>
      </c>
      <c r="D379" s="140"/>
      <c r="E379" s="140"/>
      <c r="F379" s="140"/>
    </row>
    <row r="380">
      <c r="A380" s="138">
        <v>4.0</v>
      </c>
      <c r="B380" s="139" t="s">
        <v>27</v>
      </c>
      <c r="C380" s="139" t="s">
        <v>31</v>
      </c>
      <c r="D380" s="140"/>
      <c r="E380" s="140"/>
      <c r="F380" s="140"/>
    </row>
    <row r="381">
      <c r="A381" s="138">
        <v>4.0</v>
      </c>
      <c r="B381" s="139" t="s">
        <v>27</v>
      </c>
      <c r="C381" s="139" t="s">
        <v>31</v>
      </c>
      <c r="D381" s="140"/>
      <c r="E381" s="140"/>
      <c r="F381" s="140"/>
    </row>
    <row r="382">
      <c r="A382" s="135">
        <v>4.0</v>
      </c>
      <c r="B382" s="136" t="s">
        <v>40</v>
      </c>
      <c r="C382" s="136" t="s">
        <v>16</v>
      </c>
      <c r="D382" s="136" t="s">
        <v>162</v>
      </c>
      <c r="E382" s="136" t="s">
        <v>16</v>
      </c>
      <c r="F382" s="136">
        <v>1.0</v>
      </c>
    </row>
    <row r="383">
      <c r="A383" s="135">
        <v>4.0</v>
      </c>
      <c r="B383" s="136" t="s">
        <v>40</v>
      </c>
      <c r="C383" s="136" t="s">
        <v>16</v>
      </c>
      <c r="D383" s="136" t="s">
        <v>306</v>
      </c>
      <c r="E383" s="136" t="s">
        <v>40</v>
      </c>
      <c r="F383" s="136">
        <v>1.0</v>
      </c>
    </row>
    <row r="384">
      <c r="A384" s="135">
        <v>4.0</v>
      </c>
      <c r="B384" s="136" t="s">
        <v>40</v>
      </c>
      <c r="C384" s="136" t="s">
        <v>16</v>
      </c>
      <c r="D384" s="136" t="s">
        <v>312</v>
      </c>
      <c r="E384" s="136" t="s">
        <v>40</v>
      </c>
      <c r="F384" s="136">
        <v>1.0</v>
      </c>
    </row>
    <row r="385">
      <c r="A385" s="135">
        <v>4.0</v>
      </c>
      <c r="B385" s="136" t="s">
        <v>40</v>
      </c>
      <c r="C385" s="136" t="s">
        <v>16</v>
      </c>
      <c r="D385" s="136" t="s">
        <v>305</v>
      </c>
      <c r="E385" s="136" t="s">
        <v>40</v>
      </c>
      <c r="F385" s="136">
        <v>2.0</v>
      </c>
    </row>
    <row r="386">
      <c r="A386" s="135">
        <v>4.0</v>
      </c>
      <c r="B386" s="136" t="s">
        <v>40</v>
      </c>
      <c r="C386" s="136" t="s">
        <v>16</v>
      </c>
      <c r="D386" s="136" t="s">
        <v>159</v>
      </c>
      <c r="E386" s="136" t="s">
        <v>16</v>
      </c>
      <c r="F386" s="136">
        <v>1.0</v>
      </c>
    </row>
    <row r="387">
      <c r="A387" s="135">
        <v>4.0</v>
      </c>
      <c r="B387" s="136" t="s">
        <v>40</v>
      </c>
      <c r="C387" s="136" t="s">
        <v>16</v>
      </c>
      <c r="D387" s="136"/>
      <c r="E387" s="137"/>
      <c r="F387" s="137"/>
    </row>
    <row r="388">
      <c r="A388" s="135">
        <v>4.0</v>
      </c>
      <c r="B388" s="136" t="s">
        <v>40</v>
      </c>
      <c r="C388" s="136" t="s">
        <v>16</v>
      </c>
      <c r="D388" s="137"/>
      <c r="E388" s="137"/>
      <c r="F388" s="137"/>
    </row>
    <row r="389">
      <c r="A389" s="135">
        <v>4.0</v>
      </c>
      <c r="B389" s="136" t="s">
        <v>40</v>
      </c>
      <c r="C389" s="136" t="s">
        <v>16</v>
      </c>
      <c r="D389" s="137"/>
      <c r="E389" s="137"/>
      <c r="F389" s="137"/>
    </row>
    <row r="390">
      <c r="A390" s="135">
        <v>4.0</v>
      </c>
      <c r="B390" s="136" t="s">
        <v>40</v>
      </c>
      <c r="C390" s="136" t="s">
        <v>16</v>
      </c>
      <c r="D390" s="137"/>
      <c r="E390" s="137"/>
      <c r="F390" s="137"/>
    </row>
    <row r="391">
      <c r="A391" s="135">
        <v>4.0</v>
      </c>
      <c r="B391" s="136" t="s">
        <v>40</v>
      </c>
      <c r="C391" s="136" t="s">
        <v>16</v>
      </c>
      <c r="D391" s="137"/>
      <c r="E391" s="137"/>
      <c r="F391" s="137"/>
    </row>
    <row r="392">
      <c r="A392" s="138">
        <v>4.0</v>
      </c>
      <c r="B392" s="139" t="s">
        <v>44</v>
      </c>
      <c r="C392" s="139" t="s">
        <v>49</v>
      </c>
      <c r="D392" s="139" t="s">
        <v>468</v>
      </c>
      <c r="E392" s="139" t="s">
        <v>49</v>
      </c>
      <c r="F392" s="139">
        <v>1.0</v>
      </c>
    </row>
    <row r="393">
      <c r="A393" s="138">
        <v>4.0</v>
      </c>
      <c r="B393" s="139" t="s">
        <v>44</v>
      </c>
      <c r="C393" s="139" t="s">
        <v>49</v>
      </c>
      <c r="D393" s="139" t="s">
        <v>477</v>
      </c>
      <c r="E393" s="139" t="s">
        <v>49</v>
      </c>
      <c r="F393" s="139">
        <v>1.0</v>
      </c>
    </row>
    <row r="394">
      <c r="A394" s="138">
        <v>4.0</v>
      </c>
      <c r="B394" s="139" t="s">
        <v>44</v>
      </c>
      <c r="C394" s="139" t="s">
        <v>49</v>
      </c>
      <c r="D394" s="139" t="s">
        <v>507</v>
      </c>
      <c r="E394" s="139" t="s">
        <v>44</v>
      </c>
      <c r="F394" s="139">
        <v>1.0</v>
      </c>
    </row>
    <row r="395">
      <c r="A395" s="138">
        <v>4.0</v>
      </c>
      <c r="B395" s="139" t="s">
        <v>44</v>
      </c>
      <c r="C395" s="139" t="s">
        <v>49</v>
      </c>
      <c r="D395" s="139" t="s">
        <v>476</v>
      </c>
      <c r="E395" s="139" t="s">
        <v>49</v>
      </c>
      <c r="F395" s="139">
        <v>1.0</v>
      </c>
    </row>
    <row r="396">
      <c r="A396" s="138">
        <v>4.0</v>
      </c>
      <c r="B396" s="139" t="s">
        <v>44</v>
      </c>
      <c r="C396" s="139" t="s">
        <v>49</v>
      </c>
      <c r="D396" s="139" t="s">
        <v>474</v>
      </c>
      <c r="E396" s="139" t="s">
        <v>49</v>
      </c>
      <c r="F396" s="139">
        <v>1.0</v>
      </c>
    </row>
    <row r="397">
      <c r="A397" s="138">
        <v>4.0</v>
      </c>
      <c r="B397" s="139" t="s">
        <v>44</v>
      </c>
      <c r="C397" s="139" t="s">
        <v>49</v>
      </c>
      <c r="D397" s="140"/>
      <c r="E397" s="140"/>
      <c r="F397" s="140"/>
    </row>
    <row r="398">
      <c r="A398" s="138">
        <v>4.0</v>
      </c>
      <c r="B398" s="139" t="s">
        <v>44</v>
      </c>
      <c r="C398" s="139" t="s">
        <v>49</v>
      </c>
      <c r="D398" s="140"/>
      <c r="E398" s="140"/>
      <c r="F398" s="140"/>
    </row>
    <row r="399">
      <c r="A399" s="138">
        <v>4.0</v>
      </c>
      <c r="B399" s="139" t="s">
        <v>44</v>
      </c>
      <c r="C399" s="139" t="s">
        <v>49</v>
      </c>
      <c r="D399" s="140"/>
      <c r="E399" s="140"/>
      <c r="F399" s="140"/>
    </row>
    <row r="400">
      <c r="A400" s="138">
        <v>4.0</v>
      </c>
      <c r="B400" s="139" t="s">
        <v>44</v>
      </c>
      <c r="C400" s="139" t="s">
        <v>49</v>
      </c>
      <c r="D400" s="140"/>
      <c r="E400" s="140"/>
      <c r="F400" s="140"/>
    </row>
    <row r="401">
      <c r="A401" s="138">
        <v>4.0</v>
      </c>
      <c r="B401" s="139" t="s">
        <v>44</v>
      </c>
      <c r="C401" s="139" t="s">
        <v>49</v>
      </c>
      <c r="D401" s="140"/>
      <c r="E401" s="140"/>
      <c r="F401" s="140"/>
    </row>
    <row r="402">
      <c r="A402" s="135">
        <v>4.0</v>
      </c>
      <c r="B402" s="136" t="s">
        <v>13</v>
      </c>
      <c r="C402" s="136" t="s">
        <v>50</v>
      </c>
      <c r="D402" s="136" t="s">
        <v>389</v>
      </c>
      <c r="E402" s="136" t="s">
        <v>13</v>
      </c>
      <c r="F402" s="136">
        <v>2.0</v>
      </c>
    </row>
    <row r="403">
      <c r="A403" s="135">
        <v>4.0</v>
      </c>
      <c r="B403" s="136" t="s">
        <v>13</v>
      </c>
      <c r="C403" s="136" t="s">
        <v>50</v>
      </c>
      <c r="D403" s="136" t="s">
        <v>292</v>
      </c>
      <c r="E403" s="136" t="s">
        <v>50</v>
      </c>
      <c r="F403" s="136">
        <v>2.0</v>
      </c>
    </row>
    <row r="404">
      <c r="A404" s="135">
        <v>4.0</v>
      </c>
      <c r="B404" s="136" t="s">
        <v>13</v>
      </c>
      <c r="C404" s="136" t="s">
        <v>50</v>
      </c>
      <c r="D404" s="136" t="s">
        <v>394</v>
      </c>
      <c r="E404" s="136" t="s">
        <v>107</v>
      </c>
      <c r="F404" s="136">
        <v>3.0</v>
      </c>
    </row>
    <row r="405">
      <c r="A405" s="135">
        <v>4.0</v>
      </c>
      <c r="B405" s="136" t="s">
        <v>13</v>
      </c>
      <c r="C405" s="136" t="s">
        <v>50</v>
      </c>
      <c r="D405" s="136" t="s">
        <v>296</v>
      </c>
      <c r="E405" s="136" t="s">
        <v>50</v>
      </c>
      <c r="F405" s="136">
        <v>1.0</v>
      </c>
    </row>
    <row r="406">
      <c r="A406" s="135">
        <v>4.0</v>
      </c>
      <c r="B406" s="136" t="s">
        <v>13</v>
      </c>
      <c r="C406" s="136" t="s">
        <v>50</v>
      </c>
      <c r="D406" s="136" t="s">
        <v>387</v>
      </c>
      <c r="E406" s="136" t="s">
        <v>13</v>
      </c>
      <c r="F406" s="136">
        <v>1.0</v>
      </c>
    </row>
    <row r="407">
      <c r="A407" s="135">
        <v>4.0</v>
      </c>
      <c r="B407" s="136" t="s">
        <v>13</v>
      </c>
      <c r="C407" s="136" t="s">
        <v>50</v>
      </c>
      <c r="D407" s="137"/>
      <c r="E407" s="137"/>
      <c r="F407" s="137"/>
    </row>
    <row r="408">
      <c r="A408" s="135">
        <v>4.0</v>
      </c>
      <c r="B408" s="136" t="s">
        <v>13</v>
      </c>
      <c r="C408" s="136" t="s">
        <v>50</v>
      </c>
      <c r="D408" s="137"/>
      <c r="E408" s="137"/>
      <c r="F408" s="137"/>
    </row>
    <row r="409">
      <c r="A409" s="135">
        <v>4.0</v>
      </c>
      <c r="B409" s="136" t="s">
        <v>13</v>
      </c>
      <c r="C409" s="136" t="s">
        <v>50</v>
      </c>
      <c r="D409" s="137"/>
      <c r="E409" s="137"/>
      <c r="F409" s="137"/>
    </row>
    <row r="410">
      <c r="A410" s="135">
        <v>4.0</v>
      </c>
      <c r="B410" s="136" t="s">
        <v>13</v>
      </c>
      <c r="C410" s="136" t="s">
        <v>50</v>
      </c>
      <c r="D410" s="137"/>
      <c r="E410" s="137"/>
      <c r="F410" s="137"/>
    </row>
    <row r="411">
      <c r="A411" s="135">
        <v>4.0</v>
      </c>
      <c r="B411" s="136" t="s">
        <v>13</v>
      </c>
      <c r="C411" s="136" t="s">
        <v>50</v>
      </c>
      <c r="D411" s="137"/>
      <c r="E411" s="137"/>
      <c r="F411" s="137"/>
    </row>
    <row r="412">
      <c r="A412" s="138">
        <v>4.0</v>
      </c>
      <c r="B412" s="139" t="s">
        <v>20</v>
      </c>
      <c r="C412" s="139" t="s">
        <v>36</v>
      </c>
      <c r="D412" s="139" t="s">
        <v>374</v>
      </c>
      <c r="E412" s="139" t="s">
        <v>20</v>
      </c>
      <c r="F412" s="139">
        <v>2.0</v>
      </c>
    </row>
    <row r="413">
      <c r="A413" s="138">
        <v>4.0</v>
      </c>
      <c r="B413" s="139" t="s">
        <v>20</v>
      </c>
      <c r="C413" s="139" t="s">
        <v>36</v>
      </c>
      <c r="D413" s="139" t="s">
        <v>372</v>
      </c>
      <c r="E413" s="139" t="s">
        <v>20</v>
      </c>
      <c r="F413" s="139">
        <v>1.0</v>
      </c>
    </row>
    <row r="414">
      <c r="A414" s="138">
        <v>4.0</v>
      </c>
      <c r="B414" s="139" t="s">
        <v>20</v>
      </c>
      <c r="C414" s="139" t="s">
        <v>36</v>
      </c>
      <c r="D414" s="139" t="s">
        <v>364</v>
      </c>
      <c r="E414" s="139" t="s">
        <v>20</v>
      </c>
      <c r="F414" s="139">
        <v>1.0</v>
      </c>
    </row>
    <row r="415">
      <c r="A415" s="138">
        <v>4.0</v>
      </c>
      <c r="B415" s="139" t="s">
        <v>20</v>
      </c>
      <c r="C415" s="139" t="s">
        <v>36</v>
      </c>
      <c r="D415" s="139" t="s">
        <v>281</v>
      </c>
      <c r="E415" s="139" t="s">
        <v>36</v>
      </c>
      <c r="F415" s="139">
        <v>3.0</v>
      </c>
    </row>
    <row r="416">
      <c r="A416" s="138">
        <v>4.0</v>
      </c>
      <c r="B416" s="139" t="s">
        <v>20</v>
      </c>
      <c r="C416" s="139" t="s">
        <v>36</v>
      </c>
      <c r="D416" s="139" t="s">
        <v>278</v>
      </c>
      <c r="E416" s="139" t="s">
        <v>36</v>
      </c>
      <c r="F416" s="139">
        <v>2.0</v>
      </c>
    </row>
    <row r="417">
      <c r="A417" s="138">
        <v>4.0</v>
      </c>
      <c r="B417" s="139" t="s">
        <v>20</v>
      </c>
      <c r="C417" s="139" t="s">
        <v>36</v>
      </c>
      <c r="D417" s="139" t="s">
        <v>282</v>
      </c>
      <c r="E417" s="139" t="s">
        <v>36</v>
      </c>
      <c r="F417" s="139">
        <v>1.0</v>
      </c>
    </row>
    <row r="418">
      <c r="A418" s="138">
        <v>4.0</v>
      </c>
      <c r="B418" s="139" t="s">
        <v>20</v>
      </c>
      <c r="C418" s="139" t="s">
        <v>36</v>
      </c>
      <c r="D418" s="139" t="s">
        <v>279</v>
      </c>
      <c r="E418" s="139" t="s">
        <v>36</v>
      </c>
      <c r="F418" s="139">
        <v>1.0</v>
      </c>
    </row>
    <row r="419">
      <c r="A419" s="138">
        <v>4.0</v>
      </c>
      <c r="B419" s="139" t="s">
        <v>20</v>
      </c>
      <c r="C419" s="139" t="s">
        <v>36</v>
      </c>
      <c r="D419" s="139" t="s">
        <v>371</v>
      </c>
      <c r="E419" s="139" t="s">
        <v>20</v>
      </c>
      <c r="F419" s="139">
        <v>1.0</v>
      </c>
    </row>
    <row r="420">
      <c r="A420" s="138">
        <v>4.0</v>
      </c>
      <c r="B420" s="139" t="s">
        <v>20</v>
      </c>
      <c r="C420" s="139" t="s">
        <v>36</v>
      </c>
      <c r="D420" s="140"/>
      <c r="E420" s="140"/>
      <c r="F420" s="140"/>
    </row>
    <row r="421">
      <c r="A421" s="138">
        <v>4.0</v>
      </c>
      <c r="B421" s="139" t="s">
        <v>20</v>
      </c>
      <c r="C421" s="139" t="s">
        <v>36</v>
      </c>
      <c r="D421" s="140"/>
      <c r="E421" s="140"/>
      <c r="F421" s="140"/>
    </row>
    <row r="422">
      <c r="A422" s="135">
        <v>4.0</v>
      </c>
      <c r="B422" s="136" t="s">
        <v>37</v>
      </c>
      <c r="C422" s="136" t="s">
        <v>33</v>
      </c>
      <c r="D422" s="137"/>
      <c r="E422" s="137"/>
      <c r="F422" s="137"/>
    </row>
    <row r="423">
      <c r="A423" s="135">
        <v>4.0</v>
      </c>
      <c r="B423" s="136" t="s">
        <v>37</v>
      </c>
      <c r="C423" s="136" t="s">
        <v>33</v>
      </c>
      <c r="D423" s="137"/>
      <c r="E423" s="137"/>
      <c r="F423" s="137"/>
    </row>
    <row r="424">
      <c r="A424" s="135">
        <v>4.0</v>
      </c>
      <c r="B424" s="136" t="s">
        <v>37</v>
      </c>
      <c r="C424" s="136" t="s">
        <v>33</v>
      </c>
      <c r="D424" s="137"/>
      <c r="E424" s="137"/>
      <c r="F424" s="137"/>
    </row>
    <row r="425">
      <c r="A425" s="135">
        <v>4.0</v>
      </c>
      <c r="B425" s="136" t="s">
        <v>37</v>
      </c>
      <c r="C425" s="136" t="s">
        <v>33</v>
      </c>
      <c r="D425" s="137"/>
      <c r="E425" s="137"/>
      <c r="F425" s="137"/>
    </row>
    <row r="426">
      <c r="A426" s="135">
        <v>4.0</v>
      </c>
      <c r="B426" s="136" t="s">
        <v>37</v>
      </c>
      <c r="C426" s="136" t="s">
        <v>33</v>
      </c>
      <c r="D426" s="137"/>
      <c r="E426" s="137"/>
      <c r="F426" s="137"/>
    </row>
    <row r="427">
      <c r="A427" s="135">
        <v>4.0</v>
      </c>
      <c r="B427" s="136" t="s">
        <v>37</v>
      </c>
      <c r="C427" s="136" t="s">
        <v>33</v>
      </c>
      <c r="D427" s="137"/>
      <c r="E427" s="137"/>
      <c r="F427" s="137"/>
    </row>
    <row r="428">
      <c r="A428" s="135">
        <v>4.0</v>
      </c>
      <c r="B428" s="136" t="s">
        <v>37</v>
      </c>
      <c r="C428" s="136" t="s">
        <v>33</v>
      </c>
      <c r="D428" s="137"/>
      <c r="E428" s="137"/>
      <c r="F428" s="137"/>
    </row>
    <row r="429">
      <c r="A429" s="135">
        <v>4.0</v>
      </c>
      <c r="B429" s="136" t="s">
        <v>37</v>
      </c>
      <c r="C429" s="136" t="s">
        <v>33</v>
      </c>
      <c r="D429" s="137"/>
      <c r="E429" s="137"/>
      <c r="F429" s="137"/>
    </row>
    <row r="430">
      <c r="A430" s="135">
        <v>4.0</v>
      </c>
      <c r="B430" s="136" t="s">
        <v>37</v>
      </c>
      <c r="C430" s="136" t="s">
        <v>33</v>
      </c>
      <c r="D430" s="137"/>
      <c r="E430" s="137"/>
      <c r="F430" s="137"/>
    </row>
    <row r="431">
      <c r="A431" s="135">
        <v>4.0</v>
      </c>
      <c r="B431" s="136" t="s">
        <v>37</v>
      </c>
      <c r="C431" s="136" t="s">
        <v>33</v>
      </c>
      <c r="D431" s="137"/>
      <c r="E431" s="137"/>
      <c r="F431" s="137"/>
    </row>
    <row r="432">
      <c r="A432" s="138">
        <v>4.0</v>
      </c>
      <c r="B432" s="139" t="s">
        <v>24</v>
      </c>
      <c r="C432" s="139" t="s">
        <v>28</v>
      </c>
      <c r="D432" s="140"/>
      <c r="E432" s="140"/>
      <c r="F432" s="140"/>
    </row>
    <row r="433">
      <c r="A433" s="138">
        <v>4.0</v>
      </c>
      <c r="B433" s="139" t="s">
        <v>24</v>
      </c>
      <c r="C433" s="139" t="s">
        <v>28</v>
      </c>
      <c r="D433" s="140"/>
      <c r="E433" s="140"/>
      <c r="F433" s="140"/>
    </row>
    <row r="434">
      <c r="A434" s="138">
        <v>4.0</v>
      </c>
      <c r="B434" s="139" t="s">
        <v>24</v>
      </c>
      <c r="C434" s="139" t="s">
        <v>28</v>
      </c>
      <c r="D434" s="140"/>
      <c r="E434" s="140"/>
      <c r="F434" s="140"/>
    </row>
    <row r="435">
      <c r="A435" s="138">
        <v>4.0</v>
      </c>
      <c r="B435" s="139" t="s">
        <v>24</v>
      </c>
      <c r="C435" s="139" t="s">
        <v>28</v>
      </c>
      <c r="D435" s="140"/>
      <c r="E435" s="140"/>
      <c r="F435" s="140"/>
    </row>
    <row r="436">
      <c r="A436" s="138">
        <v>4.0</v>
      </c>
      <c r="B436" s="139" t="s">
        <v>24</v>
      </c>
      <c r="C436" s="139" t="s">
        <v>28</v>
      </c>
      <c r="D436" s="140"/>
      <c r="E436" s="140"/>
      <c r="F436" s="140"/>
    </row>
    <row r="437">
      <c r="A437" s="138">
        <v>4.0</v>
      </c>
      <c r="B437" s="139" t="s">
        <v>24</v>
      </c>
      <c r="C437" s="139" t="s">
        <v>28</v>
      </c>
      <c r="D437" s="140"/>
      <c r="E437" s="140"/>
      <c r="F437" s="140"/>
    </row>
    <row r="438">
      <c r="A438" s="138">
        <v>4.0</v>
      </c>
      <c r="B438" s="139" t="s">
        <v>24</v>
      </c>
      <c r="C438" s="139" t="s">
        <v>28</v>
      </c>
      <c r="D438" s="140"/>
      <c r="E438" s="140"/>
      <c r="F438" s="140"/>
    </row>
    <row r="439">
      <c r="A439" s="138">
        <v>4.0</v>
      </c>
      <c r="B439" s="139" t="s">
        <v>24</v>
      </c>
      <c r="C439" s="139" t="s">
        <v>28</v>
      </c>
      <c r="D439" s="140"/>
      <c r="E439" s="140"/>
      <c r="F439" s="140"/>
    </row>
    <row r="440">
      <c r="A440" s="138">
        <v>4.0</v>
      </c>
      <c r="B440" s="139" t="s">
        <v>24</v>
      </c>
      <c r="C440" s="139" t="s">
        <v>28</v>
      </c>
      <c r="D440" s="140"/>
      <c r="E440" s="140"/>
      <c r="F440" s="140"/>
    </row>
    <row r="441">
      <c r="A441" s="138">
        <v>4.0</v>
      </c>
      <c r="B441" s="139" t="s">
        <v>24</v>
      </c>
      <c r="C441" s="139" t="s">
        <v>28</v>
      </c>
      <c r="D441" s="140"/>
      <c r="E441" s="140"/>
      <c r="F441" s="140"/>
    </row>
    <row r="442">
      <c r="A442" s="135">
        <v>4.0</v>
      </c>
      <c r="B442" s="136" t="s">
        <v>25</v>
      </c>
      <c r="C442" s="136" t="s">
        <v>46</v>
      </c>
      <c r="D442" s="137"/>
      <c r="E442" s="137"/>
      <c r="F442" s="137"/>
    </row>
    <row r="443">
      <c r="A443" s="135">
        <v>4.0</v>
      </c>
      <c r="B443" s="136" t="s">
        <v>25</v>
      </c>
      <c r="C443" s="136" t="s">
        <v>46</v>
      </c>
      <c r="D443" s="137"/>
      <c r="E443" s="137"/>
      <c r="F443" s="137"/>
    </row>
    <row r="444">
      <c r="A444" s="135">
        <v>4.0</v>
      </c>
      <c r="B444" s="136" t="s">
        <v>25</v>
      </c>
      <c r="C444" s="136" t="s">
        <v>46</v>
      </c>
      <c r="D444" s="137"/>
      <c r="E444" s="137"/>
      <c r="F444" s="137"/>
    </row>
    <row r="445">
      <c r="A445" s="135">
        <v>4.0</v>
      </c>
      <c r="B445" s="136" t="s">
        <v>25</v>
      </c>
      <c r="C445" s="136" t="s">
        <v>46</v>
      </c>
      <c r="D445" s="137"/>
      <c r="E445" s="137"/>
      <c r="F445" s="137"/>
    </row>
    <row r="446">
      <c r="A446" s="135">
        <v>4.0</v>
      </c>
      <c r="B446" s="136" t="s">
        <v>25</v>
      </c>
      <c r="C446" s="136" t="s">
        <v>46</v>
      </c>
      <c r="D446" s="137"/>
      <c r="E446" s="137"/>
      <c r="F446" s="137"/>
    </row>
    <row r="447">
      <c r="A447" s="135">
        <v>4.0</v>
      </c>
      <c r="B447" s="136" t="s">
        <v>25</v>
      </c>
      <c r="C447" s="136" t="s">
        <v>46</v>
      </c>
      <c r="D447" s="137"/>
      <c r="E447" s="137"/>
      <c r="F447" s="137"/>
    </row>
    <row r="448">
      <c r="A448" s="135">
        <v>4.0</v>
      </c>
      <c r="B448" s="136" t="s">
        <v>25</v>
      </c>
      <c r="C448" s="136" t="s">
        <v>46</v>
      </c>
      <c r="D448" s="137"/>
      <c r="E448" s="137"/>
      <c r="F448" s="137"/>
    </row>
    <row r="449">
      <c r="A449" s="135">
        <v>4.0</v>
      </c>
      <c r="B449" s="136" t="s">
        <v>25</v>
      </c>
      <c r="C449" s="136" t="s">
        <v>46</v>
      </c>
      <c r="D449" s="137"/>
      <c r="E449" s="137"/>
      <c r="F449" s="137"/>
    </row>
    <row r="450">
      <c r="A450" s="135">
        <v>4.0</v>
      </c>
      <c r="B450" s="136" t="s">
        <v>25</v>
      </c>
      <c r="C450" s="136" t="s">
        <v>46</v>
      </c>
      <c r="D450" s="137"/>
      <c r="E450" s="137"/>
      <c r="F450" s="137"/>
    </row>
    <row r="451">
      <c r="A451" s="135">
        <v>4.0</v>
      </c>
      <c r="B451" s="136" t="s">
        <v>25</v>
      </c>
      <c r="C451" s="136" t="s">
        <v>46</v>
      </c>
      <c r="D451" s="137"/>
      <c r="E451" s="137"/>
      <c r="F451" s="137"/>
    </row>
    <row r="452">
      <c r="A452" s="138">
        <v>4.0</v>
      </c>
      <c r="B452" s="139" t="s">
        <v>41</v>
      </c>
      <c r="C452" s="139" t="s">
        <v>34</v>
      </c>
      <c r="D452" s="140"/>
      <c r="E452" s="140"/>
      <c r="F452" s="140"/>
    </row>
    <row r="453">
      <c r="A453" s="138">
        <v>4.0</v>
      </c>
      <c r="B453" s="139" t="s">
        <v>41</v>
      </c>
      <c r="C453" s="139" t="s">
        <v>34</v>
      </c>
      <c r="D453" s="140"/>
      <c r="E453" s="140"/>
      <c r="F453" s="140"/>
    </row>
    <row r="454">
      <c r="A454" s="138">
        <v>4.0</v>
      </c>
      <c r="B454" s="139" t="s">
        <v>41</v>
      </c>
      <c r="C454" s="139" t="s">
        <v>34</v>
      </c>
      <c r="D454" s="140"/>
      <c r="E454" s="140"/>
      <c r="F454" s="140"/>
    </row>
    <row r="455">
      <c r="A455" s="138">
        <v>4.0</v>
      </c>
      <c r="B455" s="139" t="s">
        <v>41</v>
      </c>
      <c r="C455" s="139" t="s">
        <v>34</v>
      </c>
      <c r="D455" s="140"/>
      <c r="E455" s="140"/>
      <c r="F455" s="140"/>
    </row>
    <row r="456">
      <c r="A456" s="138">
        <v>4.0</v>
      </c>
      <c r="B456" s="139" t="s">
        <v>41</v>
      </c>
      <c r="C456" s="139" t="s">
        <v>34</v>
      </c>
      <c r="D456" s="140"/>
      <c r="E456" s="140"/>
      <c r="F456" s="140"/>
    </row>
    <row r="457">
      <c r="A457" s="138">
        <v>4.0</v>
      </c>
      <c r="B457" s="139" t="s">
        <v>41</v>
      </c>
      <c r="C457" s="139" t="s">
        <v>34</v>
      </c>
      <c r="D457" s="140"/>
      <c r="E457" s="140"/>
      <c r="F457" s="140"/>
    </row>
    <row r="458">
      <c r="A458" s="138">
        <v>4.0</v>
      </c>
      <c r="B458" s="139" t="s">
        <v>41</v>
      </c>
      <c r="C458" s="139" t="s">
        <v>34</v>
      </c>
      <c r="D458" s="140"/>
      <c r="E458" s="140"/>
      <c r="F458" s="140"/>
    </row>
    <row r="459">
      <c r="A459" s="138">
        <v>4.0</v>
      </c>
      <c r="B459" s="139" t="s">
        <v>41</v>
      </c>
      <c r="C459" s="139" t="s">
        <v>34</v>
      </c>
      <c r="D459" s="140"/>
      <c r="E459" s="140"/>
      <c r="F459" s="140"/>
    </row>
    <row r="460">
      <c r="A460" s="138">
        <v>4.0</v>
      </c>
      <c r="B460" s="139" t="s">
        <v>41</v>
      </c>
      <c r="C460" s="139" t="s">
        <v>34</v>
      </c>
      <c r="D460" s="140"/>
      <c r="E460" s="140"/>
      <c r="F460" s="140"/>
    </row>
    <row r="461">
      <c r="A461" s="138">
        <v>4.0</v>
      </c>
      <c r="B461" s="139" t="s">
        <v>41</v>
      </c>
      <c r="C461" s="139" t="s">
        <v>34</v>
      </c>
      <c r="D461" s="140"/>
      <c r="E461" s="140"/>
      <c r="F461" s="140"/>
    </row>
    <row r="462">
      <c r="A462" s="135">
        <v>4.0</v>
      </c>
      <c r="B462" s="136" t="s">
        <v>30</v>
      </c>
      <c r="C462" s="136" t="s">
        <v>17</v>
      </c>
      <c r="D462" s="137"/>
      <c r="E462" s="137"/>
      <c r="F462" s="137"/>
    </row>
    <row r="463">
      <c r="A463" s="135">
        <v>4.0</v>
      </c>
      <c r="B463" s="136" t="s">
        <v>30</v>
      </c>
      <c r="C463" s="136" t="s">
        <v>17</v>
      </c>
      <c r="D463" s="137"/>
      <c r="E463" s="137"/>
      <c r="F463" s="137"/>
    </row>
    <row r="464">
      <c r="A464" s="135">
        <v>4.0</v>
      </c>
      <c r="B464" s="136" t="s">
        <v>30</v>
      </c>
      <c r="C464" s="136" t="s">
        <v>17</v>
      </c>
      <c r="D464" s="137"/>
      <c r="E464" s="137"/>
      <c r="F464" s="137"/>
    </row>
    <row r="465">
      <c r="A465" s="135">
        <v>4.0</v>
      </c>
      <c r="B465" s="136" t="s">
        <v>30</v>
      </c>
      <c r="C465" s="136" t="s">
        <v>17</v>
      </c>
      <c r="D465" s="137"/>
      <c r="E465" s="137"/>
      <c r="F465" s="137"/>
    </row>
    <row r="466">
      <c r="A466" s="135">
        <v>4.0</v>
      </c>
      <c r="B466" s="136" t="s">
        <v>30</v>
      </c>
      <c r="C466" s="136" t="s">
        <v>17</v>
      </c>
      <c r="D466" s="137"/>
      <c r="E466" s="137"/>
      <c r="F466" s="137"/>
    </row>
    <row r="467">
      <c r="A467" s="135">
        <v>4.0</v>
      </c>
      <c r="B467" s="136" t="s">
        <v>30</v>
      </c>
      <c r="C467" s="136" t="s">
        <v>17</v>
      </c>
      <c r="D467" s="137"/>
      <c r="E467" s="137"/>
      <c r="F467" s="137"/>
    </row>
    <row r="468">
      <c r="A468" s="135">
        <v>4.0</v>
      </c>
      <c r="B468" s="136" t="s">
        <v>30</v>
      </c>
      <c r="C468" s="136" t="s">
        <v>17</v>
      </c>
      <c r="D468" s="137"/>
      <c r="E468" s="137"/>
      <c r="F468" s="137"/>
    </row>
    <row r="469">
      <c r="A469" s="135">
        <v>4.0</v>
      </c>
      <c r="B469" s="136" t="s">
        <v>30</v>
      </c>
      <c r="C469" s="136" t="s">
        <v>17</v>
      </c>
      <c r="D469" s="137"/>
      <c r="E469" s="137"/>
      <c r="F469" s="137"/>
    </row>
    <row r="470">
      <c r="A470" s="135">
        <v>4.0</v>
      </c>
      <c r="B470" s="136" t="s">
        <v>30</v>
      </c>
      <c r="C470" s="136" t="s">
        <v>17</v>
      </c>
      <c r="D470" s="137"/>
      <c r="E470" s="137"/>
      <c r="F470" s="137"/>
    </row>
    <row r="471">
      <c r="A471" s="135">
        <v>4.0</v>
      </c>
      <c r="B471" s="136" t="s">
        <v>30</v>
      </c>
      <c r="C471" s="136" t="s">
        <v>17</v>
      </c>
      <c r="D471" s="137"/>
      <c r="E471" s="137"/>
      <c r="F471" s="137"/>
    </row>
    <row r="472">
      <c r="A472" s="138">
        <v>4.0</v>
      </c>
      <c r="B472" s="139" t="s">
        <v>11</v>
      </c>
      <c r="C472" s="139" t="s">
        <v>43</v>
      </c>
      <c r="D472" s="140"/>
      <c r="E472" s="140"/>
      <c r="F472" s="140"/>
    </row>
    <row r="473">
      <c r="A473" s="138">
        <v>4.0</v>
      </c>
      <c r="B473" s="139" t="s">
        <v>11</v>
      </c>
      <c r="C473" s="139" t="s">
        <v>43</v>
      </c>
      <c r="D473" s="140"/>
      <c r="E473" s="140"/>
      <c r="F473" s="140"/>
    </row>
    <row r="474">
      <c r="A474" s="138">
        <v>4.0</v>
      </c>
      <c r="B474" s="139" t="s">
        <v>11</v>
      </c>
      <c r="C474" s="139" t="s">
        <v>43</v>
      </c>
      <c r="D474" s="140"/>
      <c r="E474" s="140"/>
      <c r="F474" s="140"/>
    </row>
    <row r="475">
      <c r="A475" s="138">
        <v>4.0</v>
      </c>
      <c r="B475" s="139" t="s">
        <v>11</v>
      </c>
      <c r="C475" s="139" t="s">
        <v>43</v>
      </c>
      <c r="D475" s="140"/>
      <c r="E475" s="140"/>
      <c r="F475" s="140"/>
    </row>
    <row r="476">
      <c r="A476" s="138">
        <v>4.0</v>
      </c>
      <c r="B476" s="139" t="s">
        <v>11</v>
      </c>
      <c r="C476" s="139" t="s">
        <v>43</v>
      </c>
      <c r="D476" s="140"/>
      <c r="E476" s="140"/>
      <c r="F476" s="140"/>
    </row>
    <row r="477">
      <c r="A477" s="138">
        <v>4.0</v>
      </c>
      <c r="B477" s="139" t="s">
        <v>11</v>
      </c>
      <c r="C477" s="139" t="s">
        <v>43</v>
      </c>
      <c r="D477" s="140"/>
      <c r="E477" s="140"/>
      <c r="F477" s="140"/>
    </row>
    <row r="478">
      <c r="A478" s="138">
        <v>4.0</v>
      </c>
      <c r="B478" s="139" t="s">
        <v>11</v>
      </c>
      <c r="C478" s="139" t="s">
        <v>43</v>
      </c>
      <c r="D478" s="140"/>
      <c r="E478" s="140"/>
      <c r="F478" s="140"/>
    </row>
    <row r="479">
      <c r="A479" s="138">
        <v>4.0</v>
      </c>
      <c r="B479" s="139" t="s">
        <v>11</v>
      </c>
      <c r="C479" s="139" t="s">
        <v>43</v>
      </c>
      <c r="D479" s="140"/>
      <c r="E479" s="140"/>
      <c r="F479" s="140"/>
    </row>
    <row r="480">
      <c r="A480" s="138">
        <v>4.0</v>
      </c>
      <c r="B480" s="139" t="s">
        <v>11</v>
      </c>
      <c r="C480" s="139" t="s">
        <v>43</v>
      </c>
      <c r="D480" s="140"/>
      <c r="E480" s="140"/>
      <c r="F480" s="140"/>
    </row>
    <row r="481">
      <c r="A481" s="138">
        <v>4.0</v>
      </c>
      <c r="B481" s="139" t="s">
        <v>11</v>
      </c>
      <c r="C481" s="139" t="s">
        <v>43</v>
      </c>
      <c r="D481" s="140"/>
      <c r="E481" s="140"/>
      <c r="F481" s="140"/>
    </row>
    <row r="482">
      <c r="A482" s="135">
        <v>5.0</v>
      </c>
      <c r="B482" s="136" t="s">
        <v>20</v>
      </c>
      <c r="C482" s="136" t="s">
        <v>27</v>
      </c>
      <c r="D482" s="137"/>
      <c r="E482" s="137"/>
      <c r="F482" s="137"/>
    </row>
    <row r="483">
      <c r="A483" s="135">
        <v>5.0</v>
      </c>
      <c r="B483" s="136" t="s">
        <v>20</v>
      </c>
      <c r="C483" s="136" t="s">
        <v>27</v>
      </c>
      <c r="D483" s="137"/>
      <c r="E483" s="137"/>
      <c r="F483" s="137"/>
    </row>
    <row r="484">
      <c r="A484" s="135">
        <v>5.0</v>
      </c>
      <c r="B484" s="136" t="s">
        <v>20</v>
      </c>
      <c r="C484" s="136" t="s">
        <v>27</v>
      </c>
      <c r="D484" s="137"/>
      <c r="E484" s="137"/>
      <c r="F484" s="137"/>
    </row>
    <row r="485">
      <c r="A485" s="135">
        <v>5.0</v>
      </c>
      <c r="B485" s="136" t="s">
        <v>20</v>
      </c>
      <c r="C485" s="136" t="s">
        <v>27</v>
      </c>
      <c r="D485" s="137"/>
      <c r="E485" s="137"/>
      <c r="F485" s="137"/>
    </row>
    <row r="486">
      <c r="A486" s="135">
        <v>5.0</v>
      </c>
      <c r="B486" s="136" t="s">
        <v>20</v>
      </c>
      <c r="C486" s="136" t="s">
        <v>27</v>
      </c>
      <c r="D486" s="137"/>
      <c r="E486" s="137"/>
      <c r="F486" s="137"/>
    </row>
    <row r="487">
      <c r="A487" s="135">
        <v>5.0</v>
      </c>
      <c r="B487" s="136" t="s">
        <v>20</v>
      </c>
      <c r="C487" s="136" t="s">
        <v>27</v>
      </c>
      <c r="D487" s="137"/>
      <c r="E487" s="137"/>
      <c r="F487" s="137"/>
    </row>
    <row r="488">
      <c r="A488" s="135">
        <v>5.0</v>
      </c>
      <c r="B488" s="136" t="s">
        <v>20</v>
      </c>
      <c r="C488" s="136" t="s">
        <v>27</v>
      </c>
      <c r="D488" s="137"/>
      <c r="E488" s="137"/>
      <c r="F488" s="137"/>
    </row>
    <row r="489">
      <c r="A489" s="135">
        <v>5.0</v>
      </c>
      <c r="B489" s="136" t="s">
        <v>20</v>
      </c>
      <c r="C489" s="136" t="s">
        <v>27</v>
      </c>
      <c r="D489" s="137"/>
      <c r="E489" s="137"/>
      <c r="F489" s="137"/>
    </row>
    <row r="490">
      <c r="A490" s="135">
        <v>5.0</v>
      </c>
      <c r="B490" s="136" t="s">
        <v>20</v>
      </c>
      <c r="C490" s="136" t="s">
        <v>27</v>
      </c>
      <c r="D490" s="137"/>
      <c r="E490" s="137"/>
      <c r="F490" s="137"/>
    </row>
    <row r="491">
      <c r="A491" s="135">
        <v>5.0</v>
      </c>
      <c r="B491" s="136" t="s">
        <v>20</v>
      </c>
      <c r="C491" s="136" t="s">
        <v>27</v>
      </c>
      <c r="D491" s="137"/>
      <c r="E491" s="137"/>
      <c r="F491" s="137"/>
    </row>
    <row r="492">
      <c r="A492" s="138">
        <v>5.0</v>
      </c>
      <c r="B492" s="139" t="s">
        <v>36</v>
      </c>
      <c r="C492" s="139" t="s">
        <v>49</v>
      </c>
      <c r="D492" s="140"/>
      <c r="E492" s="140"/>
      <c r="F492" s="140"/>
    </row>
    <row r="493">
      <c r="A493" s="138">
        <v>5.0</v>
      </c>
      <c r="B493" s="139" t="s">
        <v>36</v>
      </c>
      <c r="C493" s="139" t="s">
        <v>49</v>
      </c>
      <c r="D493" s="140"/>
      <c r="E493" s="140"/>
      <c r="F493" s="140"/>
    </row>
    <row r="494">
      <c r="A494" s="138">
        <v>5.0</v>
      </c>
      <c r="B494" s="139" t="s">
        <v>36</v>
      </c>
      <c r="C494" s="139" t="s">
        <v>49</v>
      </c>
      <c r="D494" s="140"/>
      <c r="E494" s="140"/>
      <c r="F494" s="140"/>
    </row>
    <row r="495">
      <c r="A495" s="138">
        <v>5.0</v>
      </c>
      <c r="B495" s="139" t="s">
        <v>36</v>
      </c>
      <c r="C495" s="139" t="s">
        <v>49</v>
      </c>
      <c r="D495" s="140"/>
      <c r="E495" s="140"/>
      <c r="F495" s="140"/>
    </row>
    <row r="496">
      <c r="A496" s="138">
        <v>5.0</v>
      </c>
      <c r="B496" s="139" t="s">
        <v>36</v>
      </c>
      <c r="C496" s="139" t="s">
        <v>49</v>
      </c>
      <c r="D496" s="140"/>
      <c r="E496" s="140"/>
      <c r="F496" s="140"/>
    </row>
    <row r="497">
      <c r="A497" s="138">
        <v>5.0</v>
      </c>
      <c r="B497" s="139" t="s">
        <v>36</v>
      </c>
      <c r="C497" s="139" t="s">
        <v>49</v>
      </c>
      <c r="D497" s="140"/>
      <c r="E497" s="140"/>
      <c r="F497" s="140"/>
    </row>
    <row r="498">
      <c r="A498" s="138">
        <v>5.0</v>
      </c>
      <c r="B498" s="139" t="s">
        <v>36</v>
      </c>
      <c r="C498" s="139" t="s">
        <v>49</v>
      </c>
      <c r="D498" s="140"/>
      <c r="E498" s="140"/>
      <c r="F498" s="140"/>
    </row>
    <row r="499">
      <c r="A499" s="138">
        <v>5.0</v>
      </c>
      <c r="B499" s="139" t="s">
        <v>36</v>
      </c>
      <c r="C499" s="139" t="s">
        <v>49</v>
      </c>
      <c r="D499" s="140"/>
      <c r="E499" s="140"/>
      <c r="F499" s="140"/>
    </row>
    <row r="500">
      <c r="A500" s="138">
        <v>5.0</v>
      </c>
      <c r="B500" s="139" t="s">
        <v>36</v>
      </c>
      <c r="C500" s="139" t="s">
        <v>49</v>
      </c>
      <c r="D500" s="140"/>
      <c r="E500" s="140"/>
      <c r="F500" s="140"/>
    </row>
    <row r="501">
      <c r="A501" s="138">
        <v>5.0</v>
      </c>
      <c r="B501" s="139" t="s">
        <v>36</v>
      </c>
      <c r="C501" s="139" t="s">
        <v>49</v>
      </c>
      <c r="D501" s="140"/>
      <c r="E501" s="140"/>
      <c r="F501" s="140"/>
    </row>
    <row r="502">
      <c r="A502" s="135">
        <v>5.0</v>
      </c>
      <c r="B502" s="136" t="s">
        <v>44</v>
      </c>
      <c r="C502" s="136" t="s">
        <v>47</v>
      </c>
      <c r="D502" s="137"/>
      <c r="E502" s="137"/>
      <c r="F502" s="137"/>
    </row>
    <row r="503">
      <c r="A503" s="135">
        <v>5.0</v>
      </c>
      <c r="B503" s="136" t="s">
        <v>44</v>
      </c>
      <c r="C503" s="136" t="s">
        <v>47</v>
      </c>
      <c r="D503" s="137"/>
      <c r="E503" s="137"/>
      <c r="F503" s="137"/>
    </row>
    <row r="504">
      <c r="A504" s="135">
        <v>5.0</v>
      </c>
      <c r="B504" s="136" t="s">
        <v>44</v>
      </c>
      <c r="C504" s="136" t="s">
        <v>47</v>
      </c>
      <c r="D504" s="137"/>
      <c r="E504" s="137"/>
      <c r="F504" s="137"/>
    </row>
    <row r="505">
      <c r="A505" s="135">
        <v>5.0</v>
      </c>
      <c r="B505" s="136" t="s">
        <v>44</v>
      </c>
      <c r="C505" s="136" t="s">
        <v>47</v>
      </c>
      <c r="D505" s="137"/>
      <c r="E505" s="137"/>
      <c r="F505" s="137"/>
    </row>
    <row r="506">
      <c r="A506" s="135">
        <v>5.0</v>
      </c>
      <c r="B506" s="136" t="s">
        <v>44</v>
      </c>
      <c r="C506" s="136" t="s">
        <v>47</v>
      </c>
      <c r="D506" s="137"/>
      <c r="E506" s="137"/>
      <c r="F506" s="137"/>
    </row>
    <row r="507">
      <c r="A507" s="135">
        <v>5.0</v>
      </c>
      <c r="B507" s="136" t="s">
        <v>44</v>
      </c>
      <c r="C507" s="136" t="s">
        <v>47</v>
      </c>
      <c r="D507" s="137"/>
      <c r="E507" s="137"/>
      <c r="F507" s="137"/>
    </row>
    <row r="508">
      <c r="A508" s="135">
        <v>5.0</v>
      </c>
      <c r="B508" s="136" t="s">
        <v>44</v>
      </c>
      <c r="C508" s="136" t="s">
        <v>47</v>
      </c>
      <c r="D508" s="137"/>
      <c r="E508" s="137"/>
      <c r="F508" s="137"/>
    </row>
    <row r="509">
      <c r="A509" s="135">
        <v>5.0</v>
      </c>
      <c r="B509" s="136" t="s">
        <v>44</v>
      </c>
      <c r="C509" s="136" t="s">
        <v>47</v>
      </c>
      <c r="D509" s="137"/>
      <c r="E509" s="137"/>
      <c r="F509" s="137"/>
    </row>
    <row r="510">
      <c r="A510" s="135">
        <v>5.0</v>
      </c>
      <c r="B510" s="136" t="s">
        <v>44</v>
      </c>
      <c r="C510" s="136" t="s">
        <v>47</v>
      </c>
      <c r="D510" s="137"/>
      <c r="E510" s="137"/>
      <c r="F510" s="137"/>
    </row>
    <row r="511">
      <c r="A511" s="135">
        <v>5.0</v>
      </c>
      <c r="B511" s="136" t="s">
        <v>44</v>
      </c>
      <c r="C511" s="136" t="s">
        <v>47</v>
      </c>
      <c r="D511" s="137"/>
      <c r="E511" s="137"/>
      <c r="F511" s="137"/>
    </row>
    <row r="512">
      <c r="A512" s="138">
        <v>5.0</v>
      </c>
      <c r="B512" s="139" t="s">
        <v>16</v>
      </c>
      <c r="C512" s="139" t="s">
        <v>33</v>
      </c>
      <c r="D512" s="140"/>
      <c r="E512" s="140"/>
      <c r="F512" s="140"/>
    </row>
    <row r="513">
      <c r="A513" s="138">
        <v>5.0</v>
      </c>
      <c r="B513" s="139" t="s">
        <v>16</v>
      </c>
      <c r="C513" s="139" t="s">
        <v>33</v>
      </c>
      <c r="D513" s="140"/>
      <c r="E513" s="140"/>
      <c r="F513" s="140"/>
    </row>
    <row r="514">
      <c r="A514" s="138">
        <v>5.0</v>
      </c>
      <c r="B514" s="139" t="s">
        <v>16</v>
      </c>
      <c r="C514" s="139" t="s">
        <v>33</v>
      </c>
      <c r="D514" s="140"/>
      <c r="E514" s="140"/>
      <c r="F514" s="140"/>
    </row>
    <row r="515">
      <c r="A515" s="138">
        <v>5.0</v>
      </c>
      <c r="B515" s="139" t="s">
        <v>16</v>
      </c>
      <c r="C515" s="139" t="s">
        <v>33</v>
      </c>
      <c r="D515" s="140"/>
      <c r="E515" s="140"/>
      <c r="F515" s="140"/>
    </row>
    <row r="516">
      <c r="A516" s="138">
        <v>5.0</v>
      </c>
      <c r="B516" s="139" t="s">
        <v>16</v>
      </c>
      <c r="C516" s="139" t="s">
        <v>33</v>
      </c>
      <c r="D516" s="140"/>
      <c r="E516" s="140"/>
      <c r="F516" s="140"/>
    </row>
    <row r="517">
      <c r="A517" s="138">
        <v>5.0</v>
      </c>
      <c r="B517" s="139" t="s">
        <v>16</v>
      </c>
      <c r="C517" s="139" t="s">
        <v>33</v>
      </c>
      <c r="D517" s="140"/>
      <c r="E517" s="140"/>
      <c r="F517" s="140"/>
    </row>
    <row r="518">
      <c r="A518" s="138">
        <v>5.0</v>
      </c>
      <c r="B518" s="139" t="s">
        <v>16</v>
      </c>
      <c r="C518" s="139" t="s">
        <v>33</v>
      </c>
      <c r="D518" s="140"/>
      <c r="E518" s="140"/>
      <c r="F518" s="140"/>
    </row>
    <row r="519">
      <c r="A519" s="138">
        <v>5.0</v>
      </c>
      <c r="B519" s="139" t="s">
        <v>16</v>
      </c>
      <c r="C519" s="139" t="s">
        <v>33</v>
      </c>
      <c r="D519" s="140"/>
      <c r="E519" s="140"/>
      <c r="F519" s="140"/>
    </row>
    <row r="520">
      <c r="A520" s="138">
        <v>5.0</v>
      </c>
      <c r="B520" s="139" t="s">
        <v>16</v>
      </c>
      <c r="C520" s="139" t="s">
        <v>33</v>
      </c>
      <c r="D520" s="140"/>
      <c r="E520" s="140"/>
      <c r="F520" s="140"/>
    </row>
    <row r="521">
      <c r="A521" s="138">
        <v>5.0</v>
      </c>
      <c r="B521" s="139" t="s">
        <v>16</v>
      </c>
      <c r="C521" s="139" t="s">
        <v>33</v>
      </c>
      <c r="D521" s="140"/>
      <c r="E521" s="140"/>
      <c r="F521" s="140"/>
    </row>
    <row r="522">
      <c r="A522" s="135">
        <v>5.0</v>
      </c>
      <c r="B522" s="136" t="s">
        <v>40</v>
      </c>
      <c r="C522" s="136" t="s">
        <v>37</v>
      </c>
      <c r="D522" s="137"/>
      <c r="E522" s="137"/>
      <c r="F522" s="137"/>
    </row>
    <row r="523">
      <c r="A523" s="135">
        <v>5.0</v>
      </c>
      <c r="B523" s="136" t="s">
        <v>40</v>
      </c>
      <c r="C523" s="136" t="s">
        <v>37</v>
      </c>
      <c r="D523" s="137"/>
      <c r="E523" s="137"/>
      <c r="F523" s="137"/>
    </row>
    <row r="524">
      <c r="A524" s="135">
        <v>5.0</v>
      </c>
      <c r="B524" s="136" t="s">
        <v>40</v>
      </c>
      <c r="C524" s="136" t="s">
        <v>37</v>
      </c>
      <c r="D524" s="137"/>
      <c r="E524" s="137"/>
      <c r="F524" s="137"/>
    </row>
    <row r="525">
      <c r="A525" s="135">
        <v>5.0</v>
      </c>
      <c r="B525" s="136" t="s">
        <v>40</v>
      </c>
      <c r="C525" s="136" t="s">
        <v>37</v>
      </c>
      <c r="D525" s="137"/>
      <c r="E525" s="137"/>
      <c r="F525" s="137"/>
    </row>
    <row r="526">
      <c r="A526" s="135">
        <v>5.0</v>
      </c>
      <c r="B526" s="136" t="s">
        <v>40</v>
      </c>
      <c r="C526" s="136" t="s">
        <v>37</v>
      </c>
      <c r="D526" s="137"/>
      <c r="E526" s="137"/>
      <c r="F526" s="137"/>
    </row>
    <row r="527">
      <c r="A527" s="135">
        <v>5.0</v>
      </c>
      <c r="B527" s="136" t="s">
        <v>40</v>
      </c>
      <c r="C527" s="136" t="s">
        <v>37</v>
      </c>
      <c r="D527" s="137"/>
      <c r="E527" s="137"/>
      <c r="F527" s="137"/>
    </row>
    <row r="528">
      <c r="A528" s="135">
        <v>5.0</v>
      </c>
      <c r="B528" s="136" t="s">
        <v>40</v>
      </c>
      <c r="C528" s="136" t="s">
        <v>37</v>
      </c>
      <c r="D528" s="137"/>
      <c r="E528" s="137"/>
      <c r="F528" s="137"/>
    </row>
    <row r="529">
      <c r="A529" s="135">
        <v>5.0</v>
      </c>
      <c r="B529" s="136" t="s">
        <v>40</v>
      </c>
      <c r="C529" s="136" t="s">
        <v>37</v>
      </c>
      <c r="D529" s="137"/>
      <c r="E529" s="137"/>
      <c r="F529" s="137"/>
    </row>
    <row r="530">
      <c r="A530" s="135">
        <v>5.0</v>
      </c>
      <c r="B530" s="136" t="s">
        <v>40</v>
      </c>
      <c r="C530" s="136" t="s">
        <v>37</v>
      </c>
      <c r="D530" s="137"/>
      <c r="E530" s="137"/>
      <c r="F530" s="137"/>
    </row>
    <row r="531">
      <c r="A531" s="135">
        <v>5.0</v>
      </c>
      <c r="B531" s="136" t="s">
        <v>40</v>
      </c>
      <c r="C531" s="136" t="s">
        <v>37</v>
      </c>
      <c r="D531" s="137"/>
      <c r="E531" s="137"/>
      <c r="F531" s="137"/>
    </row>
    <row r="532">
      <c r="A532" s="138">
        <v>5.0</v>
      </c>
      <c r="B532" s="139" t="s">
        <v>25</v>
      </c>
      <c r="C532" s="139" t="s">
        <v>50</v>
      </c>
      <c r="D532" s="140"/>
      <c r="E532" s="140"/>
      <c r="F532" s="140"/>
    </row>
    <row r="533">
      <c r="A533" s="138">
        <v>5.0</v>
      </c>
      <c r="B533" s="139" t="s">
        <v>25</v>
      </c>
      <c r="C533" s="139" t="s">
        <v>50</v>
      </c>
      <c r="D533" s="140"/>
      <c r="E533" s="140"/>
      <c r="F533" s="140"/>
    </row>
    <row r="534">
      <c r="A534" s="138">
        <v>5.0</v>
      </c>
      <c r="B534" s="139" t="s">
        <v>25</v>
      </c>
      <c r="C534" s="139" t="s">
        <v>50</v>
      </c>
      <c r="D534" s="140"/>
      <c r="E534" s="140"/>
      <c r="F534" s="140"/>
    </row>
    <row r="535">
      <c r="A535" s="138">
        <v>5.0</v>
      </c>
      <c r="B535" s="139" t="s">
        <v>25</v>
      </c>
      <c r="C535" s="139" t="s">
        <v>50</v>
      </c>
      <c r="D535" s="140"/>
      <c r="E535" s="140"/>
      <c r="F535" s="140"/>
    </row>
    <row r="536">
      <c r="A536" s="138">
        <v>5.0</v>
      </c>
      <c r="B536" s="139" t="s">
        <v>25</v>
      </c>
      <c r="C536" s="139" t="s">
        <v>50</v>
      </c>
      <c r="D536" s="140"/>
      <c r="E536" s="140"/>
      <c r="F536" s="140"/>
    </row>
    <row r="537">
      <c r="A537" s="138">
        <v>5.0</v>
      </c>
      <c r="B537" s="139" t="s">
        <v>25</v>
      </c>
      <c r="C537" s="139" t="s">
        <v>50</v>
      </c>
      <c r="D537" s="140"/>
      <c r="E537" s="140"/>
      <c r="F537" s="140"/>
    </row>
    <row r="538">
      <c r="A538" s="138">
        <v>5.0</v>
      </c>
      <c r="B538" s="139" t="s">
        <v>25</v>
      </c>
      <c r="C538" s="139" t="s">
        <v>50</v>
      </c>
      <c r="D538" s="140"/>
      <c r="E538" s="140"/>
      <c r="F538" s="140"/>
    </row>
    <row r="539">
      <c r="A539" s="138">
        <v>5.0</v>
      </c>
      <c r="B539" s="139" t="s">
        <v>25</v>
      </c>
      <c r="C539" s="139" t="s">
        <v>50</v>
      </c>
      <c r="D539" s="140"/>
      <c r="E539" s="140"/>
      <c r="F539" s="140"/>
    </row>
    <row r="540">
      <c r="A540" s="138">
        <v>5.0</v>
      </c>
      <c r="B540" s="139" t="s">
        <v>25</v>
      </c>
      <c r="C540" s="139" t="s">
        <v>50</v>
      </c>
      <c r="D540" s="140"/>
      <c r="E540" s="140"/>
      <c r="F540" s="140"/>
    </row>
    <row r="541">
      <c r="A541" s="138">
        <v>5.0</v>
      </c>
      <c r="B541" s="139" t="s">
        <v>25</v>
      </c>
      <c r="C541" s="139" t="s">
        <v>50</v>
      </c>
      <c r="D541" s="140"/>
      <c r="E541" s="140"/>
      <c r="F541" s="140"/>
    </row>
    <row r="542">
      <c r="A542" s="135">
        <v>5.0</v>
      </c>
      <c r="B542" s="136" t="s">
        <v>11</v>
      </c>
      <c r="C542" s="136" t="s">
        <v>34</v>
      </c>
      <c r="D542" s="137"/>
      <c r="E542" s="137"/>
      <c r="F542" s="137"/>
    </row>
    <row r="543">
      <c r="A543" s="135">
        <v>5.0</v>
      </c>
      <c r="B543" s="136" t="s">
        <v>11</v>
      </c>
      <c r="C543" s="136" t="s">
        <v>34</v>
      </c>
      <c r="D543" s="137"/>
      <c r="E543" s="137"/>
      <c r="F543" s="137"/>
    </row>
    <row r="544">
      <c r="A544" s="135">
        <v>5.0</v>
      </c>
      <c r="B544" s="136" t="s">
        <v>11</v>
      </c>
      <c r="C544" s="136" t="s">
        <v>34</v>
      </c>
      <c r="D544" s="137"/>
      <c r="E544" s="137"/>
      <c r="F544" s="137"/>
    </row>
    <row r="545">
      <c r="A545" s="135">
        <v>5.0</v>
      </c>
      <c r="B545" s="136" t="s">
        <v>11</v>
      </c>
      <c r="C545" s="136" t="s">
        <v>34</v>
      </c>
      <c r="D545" s="137"/>
      <c r="E545" s="137"/>
      <c r="F545" s="137"/>
    </row>
    <row r="546">
      <c r="A546" s="135">
        <v>5.0</v>
      </c>
      <c r="B546" s="136" t="s">
        <v>11</v>
      </c>
      <c r="C546" s="136" t="s">
        <v>34</v>
      </c>
      <c r="D546" s="137"/>
      <c r="E546" s="137"/>
      <c r="F546" s="137"/>
    </row>
    <row r="547">
      <c r="A547" s="135">
        <v>5.0</v>
      </c>
      <c r="B547" s="136" t="s">
        <v>11</v>
      </c>
      <c r="C547" s="136" t="s">
        <v>34</v>
      </c>
      <c r="D547" s="137"/>
      <c r="E547" s="137"/>
      <c r="F547" s="137"/>
    </row>
    <row r="548">
      <c r="A548" s="135">
        <v>5.0</v>
      </c>
      <c r="B548" s="136" t="s">
        <v>11</v>
      </c>
      <c r="C548" s="136" t="s">
        <v>34</v>
      </c>
      <c r="D548" s="137"/>
      <c r="E548" s="137"/>
      <c r="F548" s="137"/>
    </row>
    <row r="549">
      <c r="A549" s="135">
        <v>5.0</v>
      </c>
      <c r="B549" s="136" t="s">
        <v>11</v>
      </c>
      <c r="C549" s="136" t="s">
        <v>34</v>
      </c>
      <c r="D549" s="137"/>
      <c r="E549" s="137"/>
      <c r="F549" s="137"/>
    </row>
    <row r="550">
      <c r="A550" s="135">
        <v>5.0</v>
      </c>
      <c r="B550" s="136" t="s">
        <v>11</v>
      </c>
      <c r="C550" s="136" t="s">
        <v>34</v>
      </c>
      <c r="D550" s="137"/>
      <c r="E550" s="137"/>
      <c r="F550" s="137"/>
    </row>
    <row r="551">
      <c r="A551" s="135">
        <v>5.0</v>
      </c>
      <c r="B551" s="136" t="s">
        <v>11</v>
      </c>
      <c r="C551" s="136" t="s">
        <v>34</v>
      </c>
      <c r="D551" s="137"/>
      <c r="E551" s="137"/>
      <c r="F551" s="137"/>
    </row>
    <row r="552">
      <c r="A552" s="138">
        <v>5.0</v>
      </c>
      <c r="B552" s="139" t="s">
        <v>21</v>
      </c>
      <c r="C552" s="139" t="s">
        <v>46</v>
      </c>
      <c r="D552" s="140"/>
      <c r="E552" s="140"/>
      <c r="F552" s="140"/>
    </row>
    <row r="553">
      <c r="A553" s="138">
        <v>5.0</v>
      </c>
      <c r="B553" s="139" t="s">
        <v>21</v>
      </c>
      <c r="C553" s="139" t="s">
        <v>46</v>
      </c>
      <c r="D553" s="140"/>
      <c r="E553" s="140"/>
      <c r="F553" s="140"/>
    </row>
    <row r="554">
      <c r="A554" s="138">
        <v>5.0</v>
      </c>
      <c r="B554" s="139" t="s">
        <v>21</v>
      </c>
      <c r="C554" s="139" t="s">
        <v>46</v>
      </c>
      <c r="D554" s="140"/>
      <c r="E554" s="140"/>
      <c r="F554" s="140"/>
    </row>
    <row r="555">
      <c r="A555" s="138">
        <v>5.0</v>
      </c>
      <c r="B555" s="139" t="s">
        <v>21</v>
      </c>
      <c r="C555" s="139" t="s">
        <v>46</v>
      </c>
      <c r="D555" s="140"/>
      <c r="E555" s="140"/>
      <c r="F555" s="140"/>
    </row>
    <row r="556">
      <c r="A556" s="138">
        <v>5.0</v>
      </c>
      <c r="B556" s="139" t="s">
        <v>21</v>
      </c>
      <c r="C556" s="139" t="s">
        <v>46</v>
      </c>
      <c r="D556" s="140"/>
      <c r="E556" s="140"/>
      <c r="F556" s="140"/>
    </row>
    <row r="557">
      <c r="A557" s="138">
        <v>5.0</v>
      </c>
      <c r="B557" s="139" t="s">
        <v>21</v>
      </c>
      <c r="C557" s="139" t="s">
        <v>46</v>
      </c>
      <c r="D557" s="140"/>
      <c r="E557" s="140"/>
      <c r="F557" s="140"/>
    </row>
    <row r="558">
      <c r="A558" s="138">
        <v>5.0</v>
      </c>
      <c r="B558" s="139" t="s">
        <v>21</v>
      </c>
      <c r="C558" s="139" t="s">
        <v>46</v>
      </c>
      <c r="D558" s="140"/>
      <c r="E558" s="140"/>
      <c r="F558" s="140"/>
    </row>
    <row r="559">
      <c r="A559" s="138">
        <v>5.0</v>
      </c>
      <c r="B559" s="139" t="s">
        <v>21</v>
      </c>
      <c r="C559" s="139" t="s">
        <v>46</v>
      </c>
      <c r="D559" s="140"/>
      <c r="E559" s="140"/>
      <c r="F559" s="140"/>
    </row>
    <row r="560">
      <c r="A560" s="138">
        <v>5.0</v>
      </c>
      <c r="B560" s="139" t="s">
        <v>21</v>
      </c>
      <c r="C560" s="139" t="s">
        <v>46</v>
      </c>
      <c r="D560" s="140"/>
      <c r="E560" s="140"/>
      <c r="F560" s="140"/>
    </row>
    <row r="561">
      <c r="A561" s="138">
        <v>5.0</v>
      </c>
      <c r="B561" s="139" t="s">
        <v>21</v>
      </c>
      <c r="C561" s="139" t="s">
        <v>46</v>
      </c>
      <c r="D561" s="140"/>
      <c r="E561" s="140"/>
      <c r="F561" s="140"/>
    </row>
    <row r="562">
      <c r="A562" s="135">
        <v>5.0</v>
      </c>
      <c r="B562" s="136" t="s">
        <v>30</v>
      </c>
      <c r="C562" s="136" t="s">
        <v>24</v>
      </c>
      <c r="D562" s="137"/>
      <c r="E562" s="137"/>
      <c r="F562" s="137"/>
    </row>
    <row r="563">
      <c r="A563" s="135">
        <v>5.0</v>
      </c>
      <c r="B563" s="136" t="s">
        <v>30</v>
      </c>
      <c r="C563" s="136" t="s">
        <v>24</v>
      </c>
      <c r="D563" s="137"/>
      <c r="E563" s="137"/>
      <c r="F563" s="137"/>
    </row>
    <row r="564">
      <c r="A564" s="135">
        <v>5.0</v>
      </c>
      <c r="B564" s="136" t="s">
        <v>30</v>
      </c>
      <c r="C564" s="136" t="s">
        <v>24</v>
      </c>
      <c r="D564" s="137"/>
      <c r="E564" s="137"/>
      <c r="F564" s="137"/>
    </row>
    <row r="565">
      <c r="A565" s="135">
        <v>5.0</v>
      </c>
      <c r="B565" s="136" t="s">
        <v>30</v>
      </c>
      <c r="C565" s="136" t="s">
        <v>24</v>
      </c>
      <c r="D565" s="137"/>
      <c r="E565" s="137"/>
      <c r="F565" s="137"/>
    </row>
    <row r="566">
      <c r="A566" s="135">
        <v>5.0</v>
      </c>
      <c r="B566" s="136" t="s">
        <v>30</v>
      </c>
      <c r="C566" s="136" t="s">
        <v>24</v>
      </c>
      <c r="D566" s="137"/>
      <c r="E566" s="137"/>
      <c r="F566" s="137"/>
    </row>
    <row r="567">
      <c r="A567" s="135">
        <v>5.0</v>
      </c>
      <c r="B567" s="136" t="s">
        <v>30</v>
      </c>
      <c r="C567" s="136" t="s">
        <v>24</v>
      </c>
      <c r="D567" s="137"/>
      <c r="E567" s="137"/>
      <c r="F567" s="137"/>
    </row>
    <row r="568">
      <c r="A568" s="135">
        <v>5.0</v>
      </c>
      <c r="B568" s="136" t="s">
        <v>30</v>
      </c>
      <c r="C568" s="136" t="s">
        <v>24</v>
      </c>
      <c r="D568" s="137"/>
      <c r="E568" s="137"/>
      <c r="F568" s="137"/>
    </row>
    <row r="569">
      <c r="A569" s="135">
        <v>5.0</v>
      </c>
      <c r="B569" s="136" t="s">
        <v>30</v>
      </c>
      <c r="C569" s="136" t="s">
        <v>24</v>
      </c>
      <c r="D569" s="137"/>
      <c r="E569" s="137"/>
      <c r="F569" s="137"/>
    </row>
    <row r="570">
      <c r="A570" s="135">
        <v>5.0</v>
      </c>
      <c r="B570" s="136" t="s">
        <v>30</v>
      </c>
      <c r="C570" s="136" t="s">
        <v>24</v>
      </c>
      <c r="D570" s="137"/>
      <c r="E570" s="137"/>
      <c r="F570" s="137"/>
    </row>
    <row r="571">
      <c r="A571" s="135">
        <v>5.0</v>
      </c>
      <c r="B571" s="136" t="s">
        <v>30</v>
      </c>
      <c r="C571" s="136" t="s">
        <v>24</v>
      </c>
      <c r="D571" s="137"/>
      <c r="E571" s="137"/>
      <c r="F571" s="137"/>
    </row>
    <row r="572">
      <c r="A572" s="138">
        <v>5.0</v>
      </c>
      <c r="B572" s="139" t="s">
        <v>13</v>
      </c>
      <c r="C572" s="139" t="s">
        <v>28</v>
      </c>
      <c r="D572" s="140"/>
      <c r="E572" s="140"/>
      <c r="F572" s="140"/>
    </row>
    <row r="573">
      <c r="A573" s="138">
        <v>5.0</v>
      </c>
      <c r="B573" s="139" t="s">
        <v>13</v>
      </c>
      <c r="C573" s="139" t="s">
        <v>28</v>
      </c>
      <c r="D573" s="140"/>
      <c r="E573" s="140"/>
      <c r="F573" s="140"/>
    </row>
    <row r="574">
      <c r="A574" s="138">
        <v>5.0</v>
      </c>
      <c r="B574" s="139" t="s">
        <v>13</v>
      </c>
      <c r="C574" s="139" t="s">
        <v>28</v>
      </c>
      <c r="D574" s="140"/>
      <c r="E574" s="140"/>
      <c r="F574" s="140"/>
    </row>
    <row r="575">
      <c r="A575" s="138">
        <v>5.0</v>
      </c>
      <c r="B575" s="139" t="s">
        <v>13</v>
      </c>
      <c r="C575" s="139" t="s">
        <v>28</v>
      </c>
      <c r="D575" s="140"/>
      <c r="E575" s="140"/>
      <c r="F575" s="140"/>
    </row>
    <row r="576">
      <c r="A576" s="138">
        <v>5.0</v>
      </c>
      <c r="B576" s="139" t="s">
        <v>13</v>
      </c>
      <c r="C576" s="139" t="s">
        <v>28</v>
      </c>
      <c r="D576" s="140"/>
      <c r="E576" s="140"/>
      <c r="F576" s="140"/>
    </row>
    <row r="577">
      <c r="A577" s="138">
        <v>5.0</v>
      </c>
      <c r="B577" s="139" t="s">
        <v>13</v>
      </c>
      <c r="C577" s="139" t="s">
        <v>28</v>
      </c>
      <c r="D577" s="140"/>
      <c r="E577" s="140"/>
      <c r="F577" s="140"/>
    </row>
    <row r="578">
      <c r="A578" s="138">
        <v>5.0</v>
      </c>
      <c r="B578" s="139" t="s">
        <v>13</v>
      </c>
      <c r="C578" s="139" t="s">
        <v>28</v>
      </c>
      <c r="D578" s="140"/>
      <c r="E578" s="140"/>
      <c r="F578" s="140"/>
    </row>
    <row r="579">
      <c r="A579" s="138">
        <v>5.0</v>
      </c>
      <c r="B579" s="139" t="s">
        <v>13</v>
      </c>
      <c r="C579" s="139" t="s">
        <v>28</v>
      </c>
      <c r="D579" s="140"/>
      <c r="E579" s="140"/>
      <c r="F579" s="140"/>
    </row>
    <row r="580">
      <c r="A580" s="138">
        <v>5.0</v>
      </c>
      <c r="B580" s="139" t="s">
        <v>13</v>
      </c>
      <c r="C580" s="139" t="s">
        <v>28</v>
      </c>
      <c r="D580" s="140"/>
      <c r="E580" s="140"/>
      <c r="F580" s="140"/>
    </row>
    <row r="581">
      <c r="A581" s="138">
        <v>5.0</v>
      </c>
      <c r="B581" s="139" t="s">
        <v>13</v>
      </c>
      <c r="C581" s="139" t="s">
        <v>28</v>
      </c>
      <c r="D581" s="140"/>
      <c r="E581" s="140"/>
      <c r="F581" s="140"/>
    </row>
    <row r="582">
      <c r="A582" s="135">
        <v>5.0</v>
      </c>
      <c r="B582" s="136" t="s">
        <v>17</v>
      </c>
      <c r="C582" s="136" t="s">
        <v>31</v>
      </c>
      <c r="D582" s="137"/>
      <c r="E582" s="137"/>
      <c r="F582" s="137"/>
    </row>
    <row r="583">
      <c r="A583" s="135">
        <v>5.0</v>
      </c>
      <c r="B583" s="136" t="s">
        <v>17</v>
      </c>
      <c r="C583" s="136" t="s">
        <v>31</v>
      </c>
      <c r="D583" s="137"/>
      <c r="E583" s="137"/>
      <c r="F583" s="137"/>
    </row>
    <row r="584">
      <c r="A584" s="135">
        <v>5.0</v>
      </c>
      <c r="B584" s="136" t="s">
        <v>17</v>
      </c>
      <c r="C584" s="136" t="s">
        <v>31</v>
      </c>
      <c r="D584" s="137"/>
      <c r="E584" s="137"/>
      <c r="F584" s="137"/>
    </row>
    <row r="585">
      <c r="A585" s="135">
        <v>5.0</v>
      </c>
      <c r="B585" s="136" t="s">
        <v>17</v>
      </c>
      <c r="C585" s="136" t="s">
        <v>31</v>
      </c>
      <c r="D585" s="137"/>
      <c r="E585" s="137"/>
      <c r="F585" s="137"/>
    </row>
    <row r="586">
      <c r="A586" s="135">
        <v>5.0</v>
      </c>
      <c r="B586" s="136" t="s">
        <v>17</v>
      </c>
      <c r="C586" s="136" t="s">
        <v>31</v>
      </c>
      <c r="D586" s="137"/>
      <c r="E586" s="137"/>
      <c r="F586" s="137"/>
    </row>
    <row r="587">
      <c r="A587" s="135">
        <v>5.0</v>
      </c>
      <c r="B587" s="136" t="s">
        <v>17</v>
      </c>
      <c r="C587" s="136" t="s">
        <v>31</v>
      </c>
      <c r="D587" s="137"/>
      <c r="E587" s="137"/>
      <c r="F587" s="137"/>
    </row>
    <row r="588">
      <c r="A588" s="135">
        <v>5.0</v>
      </c>
      <c r="B588" s="136" t="s">
        <v>17</v>
      </c>
      <c r="C588" s="136" t="s">
        <v>31</v>
      </c>
      <c r="D588" s="137"/>
      <c r="E588" s="137"/>
      <c r="F588" s="137"/>
    </row>
    <row r="589">
      <c r="A589" s="135">
        <v>5.0</v>
      </c>
      <c r="B589" s="136" t="s">
        <v>17</v>
      </c>
      <c r="C589" s="136" t="s">
        <v>31</v>
      </c>
      <c r="D589" s="137"/>
      <c r="E589" s="137"/>
      <c r="F589" s="137"/>
    </row>
    <row r="590">
      <c r="A590" s="135">
        <v>5.0</v>
      </c>
      <c r="B590" s="136" t="s">
        <v>17</v>
      </c>
      <c r="C590" s="136" t="s">
        <v>31</v>
      </c>
      <c r="D590" s="137"/>
      <c r="E590" s="137"/>
      <c r="F590" s="137"/>
    </row>
    <row r="591">
      <c r="A591" s="135">
        <v>5.0</v>
      </c>
      <c r="B591" s="136" t="s">
        <v>17</v>
      </c>
      <c r="C591" s="136" t="s">
        <v>31</v>
      </c>
      <c r="D591" s="137"/>
      <c r="E591" s="137"/>
      <c r="F591" s="137"/>
    </row>
    <row r="592">
      <c r="A592" s="138">
        <v>5.0</v>
      </c>
      <c r="B592" s="139" t="s">
        <v>43</v>
      </c>
      <c r="C592" s="139" t="s">
        <v>41</v>
      </c>
      <c r="D592" s="140"/>
      <c r="E592" s="140"/>
      <c r="F592" s="140"/>
    </row>
    <row r="593">
      <c r="A593" s="138">
        <v>5.0</v>
      </c>
      <c r="B593" s="139" t="s">
        <v>43</v>
      </c>
      <c r="C593" s="139" t="s">
        <v>41</v>
      </c>
      <c r="D593" s="140"/>
      <c r="E593" s="140"/>
      <c r="F593" s="140"/>
    </row>
    <row r="594">
      <c r="A594" s="138">
        <v>5.0</v>
      </c>
      <c r="B594" s="139" t="s">
        <v>43</v>
      </c>
      <c r="C594" s="139" t="s">
        <v>41</v>
      </c>
      <c r="D594" s="140"/>
      <c r="E594" s="140"/>
      <c r="F594" s="140"/>
    </row>
    <row r="595">
      <c r="A595" s="138">
        <v>5.0</v>
      </c>
      <c r="B595" s="139" t="s">
        <v>43</v>
      </c>
      <c r="C595" s="139" t="s">
        <v>41</v>
      </c>
      <c r="D595" s="140"/>
      <c r="E595" s="140"/>
      <c r="F595" s="140"/>
    </row>
    <row r="596">
      <c r="A596" s="138">
        <v>5.0</v>
      </c>
      <c r="B596" s="139" t="s">
        <v>43</v>
      </c>
      <c r="C596" s="139" t="s">
        <v>41</v>
      </c>
      <c r="D596" s="140"/>
      <c r="E596" s="140"/>
      <c r="F596" s="140"/>
    </row>
    <row r="597">
      <c r="A597" s="138">
        <v>5.0</v>
      </c>
      <c r="B597" s="139" t="s">
        <v>43</v>
      </c>
      <c r="C597" s="139" t="s">
        <v>41</v>
      </c>
      <c r="D597" s="140"/>
      <c r="E597" s="140"/>
      <c r="F597" s="140"/>
    </row>
    <row r="598">
      <c r="A598" s="138">
        <v>5.0</v>
      </c>
      <c r="B598" s="139" t="s">
        <v>43</v>
      </c>
      <c r="C598" s="139" t="s">
        <v>41</v>
      </c>
      <c r="D598" s="140"/>
      <c r="E598" s="140"/>
      <c r="F598" s="140"/>
    </row>
    <row r="599">
      <c r="A599" s="138">
        <v>5.0</v>
      </c>
      <c r="B599" s="139" t="s">
        <v>43</v>
      </c>
      <c r="C599" s="139" t="s">
        <v>41</v>
      </c>
      <c r="D599" s="140"/>
      <c r="E599" s="140"/>
      <c r="F599" s="140"/>
    </row>
    <row r="600">
      <c r="A600" s="138">
        <v>5.0</v>
      </c>
      <c r="B600" s="139" t="s">
        <v>43</v>
      </c>
      <c r="C600" s="139" t="s">
        <v>41</v>
      </c>
      <c r="D600" s="140"/>
      <c r="E600" s="140"/>
      <c r="F600" s="140"/>
    </row>
    <row r="601">
      <c r="A601" s="138">
        <v>5.0</v>
      </c>
      <c r="B601" s="139" t="s">
        <v>43</v>
      </c>
      <c r="C601" s="139" t="s">
        <v>41</v>
      </c>
      <c r="D601" s="140"/>
      <c r="E601" s="140"/>
      <c r="F601" s="140"/>
    </row>
  </sheetData>
  <dataValidations>
    <dataValidation type="list" allowBlank="1" sqref="D2:D601">
      <formula1>Rose!$B:$B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 ht="19.5" customHeight="1">
      <c r="A1" s="143" t="s">
        <v>534</v>
      </c>
    </row>
    <row r="2" ht="7.5" customHeight="1">
      <c r="A2" s="144"/>
    </row>
    <row r="3" ht="19.5" customHeight="1">
      <c r="A3" s="145" t="s">
        <v>535</v>
      </c>
    </row>
    <row r="4" ht="19.5" customHeight="1">
      <c r="A4" s="146" t="s">
        <v>536</v>
      </c>
    </row>
    <row r="5" ht="19.5" customHeight="1">
      <c r="A5" s="147" t="s">
        <v>537</v>
      </c>
    </row>
    <row r="6" ht="19.5" customHeight="1">
      <c r="A6" s="148" t="s">
        <v>538</v>
      </c>
    </row>
    <row r="7" ht="19.5" customHeight="1">
      <c r="A7" s="149" t="s">
        <v>539</v>
      </c>
    </row>
    <row r="8" ht="7.5" customHeight="1">
      <c r="A8" s="146"/>
    </row>
    <row r="9" ht="19.5" customHeight="1">
      <c r="A9" s="150" t="s">
        <v>540</v>
      </c>
    </row>
    <row r="10" ht="19.5" customHeight="1">
      <c r="A10" s="146" t="s">
        <v>541</v>
      </c>
    </row>
    <row r="11" ht="19.5" customHeight="1">
      <c r="A11" s="151" t="s">
        <v>542</v>
      </c>
    </row>
    <row r="12" ht="7.5" customHeight="1">
      <c r="A12" s="146"/>
    </row>
    <row r="13" ht="19.5" customHeight="1">
      <c r="A13" s="150" t="s">
        <v>543</v>
      </c>
    </row>
    <row r="14" ht="19.5" customHeight="1">
      <c r="A14" s="146" t="s">
        <v>544</v>
      </c>
    </row>
    <row r="15" ht="19.5" customHeight="1">
      <c r="A15" s="151" t="s">
        <v>545</v>
      </c>
    </row>
    <row r="16" ht="7.5" customHeight="1">
      <c r="A16" s="146"/>
    </row>
    <row r="17" ht="19.5" customHeight="1">
      <c r="A17" s="150" t="s">
        <v>546</v>
      </c>
    </row>
    <row r="18" ht="19.5" customHeight="1">
      <c r="A18" s="146" t="s">
        <v>547</v>
      </c>
    </row>
    <row r="19" ht="7.5" customHeight="1">
      <c r="A19" s="146"/>
    </row>
    <row r="20" ht="19.5" customHeight="1">
      <c r="A20" s="145" t="s">
        <v>548</v>
      </c>
    </row>
    <row r="21" ht="19.5" customHeight="1">
      <c r="A21" s="147" t="s">
        <v>549</v>
      </c>
    </row>
    <row r="22" ht="19.5" customHeight="1">
      <c r="A22" s="152" t="s">
        <v>550</v>
      </c>
    </row>
    <row r="23" ht="19.5" customHeight="1">
      <c r="A23" s="153" t="s">
        <v>551</v>
      </c>
    </row>
    <row r="24" ht="19.5" customHeight="1">
      <c r="A24" s="154" t="s">
        <v>552</v>
      </c>
    </row>
    <row r="25" ht="19.5" customHeight="1">
      <c r="A25" s="155" t="s">
        <v>553</v>
      </c>
    </row>
    <row r="26" ht="19.5" customHeight="1">
      <c r="A26" s="156" t="s">
        <v>554</v>
      </c>
    </row>
    <row r="27" ht="7.5" customHeight="1">
      <c r="A27" s="146"/>
    </row>
    <row r="28" ht="19.5" customHeight="1">
      <c r="A28" s="150" t="s">
        <v>555</v>
      </c>
    </row>
    <row r="29" ht="19.5" customHeight="1">
      <c r="A29" s="146" t="s">
        <v>556</v>
      </c>
    </row>
    <row r="30" ht="19.5" customHeight="1">
      <c r="A30" s="146" t="s">
        <v>557</v>
      </c>
    </row>
    <row r="31" ht="19.5" customHeight="1">
      <c r="A31" s="146" t="s">
        <v>558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